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1ef3ee93785cf2/Туризм 2026/"/>
    </mc:Choice>
  </mc:AlternateContent>
  <xr:revisionPtr revIDLastSave="68" documentId="8_{C9FDA4F4-E9F9-47C8-9BF5-D02CA17797EF}" xr6:coauthVersionLast="47" xr6:coauthVersionMax="47" xr10:uidLastSave="{737854A1-5FD0-421C-8B0A-26EAAF73A172}"/>
  <bookViews>
    <workbookView xWindow="912" yWindow="264" windowWidth="20472" windowHeight="15024" xr2:uid="{00000000-000D-0000-FFFF-FFFF00000000}"/>
  </bookViews>
  <sheets>
    <sheet name="Китайский" sheetId="2" r:id="rId1"/>
    <sheet name="Русски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2" i="2" l="1"/>
  <c r="G112" i="2"/>
  <c r="H103" i="2"/>
  <c r="G103" i="2"/>
  <c r="H87" i="2"/>
  <c r="G87" i="2"/>
  <c r="H82" i="2"/>
  <c r="G82" i="2"/>
  <c r="H68" i="2"/>
  <c r="G68" i="2"/>
  <c r="H64" i="2"/>
  <c r="G64" i="2"/>
  <c r="H55" i="2"/>
  <c r="G55" i="2"/>
  <c r="G42" i="2"/>
  <c r="H42" i="2"/>
  <c r="H29" i="2"/>
  <c r="G29" i="2"/>
  <c r="I15" i="2"/>
  <c r="H11" i="2"/>
  <c r="G11" i="2"/>
  <c r="H86" i="1"/>
  <c r="H77" i="1"/>
  <c r="H63" i="1"/>
  <c r="H52" i="1"/>
  <c r="H42" i="1"/>
  <c r="G39" i="1"/>
  <c r="G38" i="1"/>
  <c r="G21" i="1"/>
  <c r="H20" i="1"/>
  <c r="I65" i="2"/>
  <c r="I32" i="2"/>
  <c r="G5" i="2" l="1"/>
  <c r="H5" i="2" s="1"/>
  <c r="H3" i="2"/>
  <c r="H4" i="2" s="1"/>
  <c r="G3" i="2"/>
  <c r="G4" i="2" s="1"/>
  <c r="G6" i="2" l="1"/>
  <c r="H6" i="2"/>
</calcChain>
</file>

<file path=xl/sharedStrings.xml><?xml version="1.0" encoding="utf-8"?>
<sst xmlns="http://schemas.openxmlformats.org/spreadsheetml/2006/main" count="308" uniqueCount="216">
  <si>
    <t>莫斯科+图拉   行程表 9天/7晚</t>
  </si>
  <si>
    <t>星期</t>
  </si>
  <si>
    <t>游览日                   序号</t>
  </si>
  <si>
    <t>日期</t>
  </si>
  <si>
    <t>时间</t>
  </si>
  <si>
    <t>行程及游览时间</t>
  </si>
  <si>
    <t>备注</t>
  </si>
  <si>
    <t>D1</t>
  </si>
  <si>
    <t>约？？？</t>
  </si>
  <si>
    <t>车费</t>
  </si>
  <si>
    <t>停车费</t>
  </si>
  <si>
    <t xml:space="preserve">晚餐 </t>
  </si>
  <si>
    <t>周六</t>
  </si>
  <si>
    <t>D2</t>
  </si>
  <si>
    <t>全天不用车，地铁周六上午没人，刚好适合参观</t>
  </si>
  <si>
    <t>加上导游票</t>
  </si>
  <si>
    <t>儿童大厦里的餐厅，有意大利的（风景很好），有俄餐等</t>
  </si>
  <si>
    <t>卢比扬卡广场（原契卡、国家政治保卫局、内务人民委员会、克格勃等机构所在地)</t>
  </si>
  <si>
    <t>游览莫斯科古老的尼古拉街（苏俄时华侨小商品市场旧址、俄罗斯最早的出版社、红色教授学院的宿舍旧址、莫斯科大学前身神学院、外籍工人出版社旧址），在富丽堂皇的姑母商场品尝按照1954年的配方制作的冰淇淋、红场</t>
  </si>
  <si>
    <t>红场 （属于世界文化遗产）</t>
  </si>
  <si>
    <t>驯马广场：朱可夫雕像、莫斯科大饭店、市杜马，亚历山大花园（上园）：无名烈士墓、长明火、格尔莫根大牧首雕像、罗曼诺夫王朝300周年雕像</t>
  </si>
  <si>
    <t>可以考虑中餐，看酒店在哪里</t>
  </si>
  <si>
    <t>周日</t>
  </si>
  <si>
    <t>D3</t>
  </si>
  <si>
    <t>到了用餐地点可以不用车，坐地铁回酒店。看实际订列宁故居的情况，也许上午去克宫，下午去列宁故居</t>
  </si>
  <si>
    <t>А模块，可以换成B或C，看具体能接待团队的时间</t>
  </si>
  <si>
    <t>10个人成团。25个人以上要分两团。列宁故居 (950) +列宁政治历史博物馆 (600) +斯大林办公室 (600): 票不可控，也许要改为另一天，要给自己留后路</t>
  </si>
  <si>
    <t>可以考虑最近的：Il Letterato, Eat&amp;Talks, Шато Руставели, Долмама</t>
  </si>
  <si>
    <t>共产国际执行委员会旧址、克里姆林宫：克里姆林宫大宫殿（外观）、参议院（外观）</t>
  </si>
  <si>
    <t>导游票另算，1500</t>
  </si>
  <si>
    <t>珍宝馆（入内）</t>
  </si>
  <si>
    <t>里面不能讲，只带讲解器</t>
  </si>
  <si>
    <t>兵器馆（入内）</t>
  </si>
  <si>
    <t>导游票另算，2000</t>
  </si>
  <si>
    <t>走出克里姆林宫参观阿力山大花园（下园及中园：弗拉基米尔大公雕像、亚历山大一世雕像、列宁图书馆）</t>
  </si>
  <si>
    <t>用车按6小时算（都要+1或+2）</t>
  </si>
  <si>
    <t>苏维埃5号楼（中央政府宿舍），伏龙芝军事学院旧址，克里姆林宫医院</t>
  </si>
  <si>
    <t>周一</t>
  </si>
  <si>
    <t>D4</t>
  </si>
  <si>
    <t>用车12小时+1/2</t>
  </si>
  <si>
    <t>B模块，可以换成A或C，看具体能接待团队的时间</t>
  </si>
  <si>
    <t>军事体验开坦克+打枪 （一下午）ТАNK MARSHRUT （库宾卡的方向，回来刚好可以参观库宾卡）</t>
  </si>
  <si>
    <t>25300/10人 再加上导游的费用（和客人一样）</t>
  </si>
  <si>
    <t>烤肉（外卖）</t>
  </si>
  <si>
    <t>订餐（外卖）：https://xn--80akn5b.xn--80aabjyu5amji.xn--p1ai/</t>
  </si>
  <si>
    <t>军事体验基地上</t>
  </si>
  <si>
    <t>C模块，可以换成A或B，看具体能接待团队的时间</t>
  </si>
  <si>
    <t>爱国者公园：武装力量大教堂 （一下午）</t>
  </si>
  <si>
    <t>Билеты и условия посещения. Режим работы/教堂营业时间：每天08:00-21:00 ，莫斯科夏天落日最晚21:17 。武装力量加1418博物馆- 22000/团（团票4500+4500，加外雇持证导游），20个人以下。1418我觉得可以不去，这样都不用雇导游。教堂可以自己参观，该注意都在车上讲。</t>
  </si>
  <si>
    <t>坦克博物馆550+讲解费（雇讲解员费用）10400, 露天军械展550/人, 不讲解。坦克博物馆可以不用单独去，露天军械站（1号场）也有室内的一部分，里头也有一大堆坦克。这样也不用搞得那么累。
总1100/人</t>
  </si>
  <si>
    <t>地铁</t>
  </si>
  <si>
    <t>周二</t>
  </si>
  <si>
    <t>D5</t>
  </si>
  <si>
    <t>用车13小时+1/2</t>
  </si>
  <si>
    <t>休息日：周一</t>
  </si>
  <si>
    <t>步行游览：MUSEON露天博物馆（苏联纪念碑的安息地），彼得大帝雕像，皇家游艇俱乐部，红色十月巧克力工厂，大牧首桥（拍克里姆林宫最好角度之一），耶稣救世主大教堂，莫斯科最老的加油站，中山大学旧址</t>
  </si>
  <si>
    <t>中共六大会场</t>
  </si>
  <si>
    <t>这个最好不要写，能来得及就安排，来不及就算了</t>
  </si>
  <si>
    <t>一栋小木房：12个以下包租 3个小时24000/栋，20个以下包租3个小时36000/栋，全套用品1800一位。泡好浴池10300/栋</t>
  </si>
  <si>
    <t>（可以让客人自己点）</t>
  </si>
  <si>
    <t>周三</t>
  </si>
  <si>
    <t>D6</t>
  </si>
  <si>
    <t>导游不用票</t>
  </si>
  <si>
    <t>步行游览：驼背桥（爱情锁桥），列宾花园（列兵雕像，艺术价值极高的“儿童是成人恶习的受害者”雕像），圣苏菲亚河畔（拍克里姆林宫最好角度之一），莫斯科最有名的宅邸之一（现在的英国大师官邸），全世界第一个小区（河畔大楼 - 苏联中央政府官员公寓）</t>
  </si>
  <si>
    <t>可以考虑最近的：Магадан, Чайхона №1, Стрелка</t>
  </si>
  <si>
    <t>新圣女公墓</t>
  </si>
  <si>
    <t>乌克兰饭店 （皇家拉迪森）（七姐妹之一）：                参观红场的模型，再登上观景台（从120米的高度欣赏莫斯科市中心的全景）</t>
  </si>
  <si>
    <t>码头拍摄点（白宫-俄罗斯中央政府办公大楼，莫斯科市政府，苏联国贸大厦)</t>
  </si>
  <si>
    <t>乘坐皇家拉迪森旗下的游览船游莫斯科河（配晚餐）</t>
  </si>
  <si>
    <t>周四</t>
  </si>
  <si>
    <t>D7</t>
  </si>
  <si>
    <t>征服太空者纪念碑</t>
  </si>
  <si>
    <t>前苏联经济成就展览中心：</t>
  </si>
  <si>
    <t>太空博物馆</t>
  </si>
  <si>
    <t>近卫局特殊用途车库博物馆（曾服务于苏联及现代俄罗斯领导人的车辆、护卫车辆以及荣誉护卫摩托车）</t>
  </si>
  <si>
    <t>莫斯科市模型展馆 （以鸟瞰视角领略首都全景）</t>
  </si>
  <si>
    <t>大剧院外部游览</t>
  </si>
  <si>
    <t>莫斯科CBD对面的拍摄点，再游览莫斯科CBD，自由购物时间</t>
  </si>
  <si>
    <t>D8图拉</t>
  </si>
  <si>
    <t>图拉克里姆林宫</t>
  </si>
  <si>
    <t>游览11点，11：30 开始，午餐要晚一些吃，这一天可以晚些吃早餐</t>
  </si>
  <si>
    <t>姜饼博物馆 + 手工课</t>
  </si>
  <si>
    <t>茶炊博物馆</t>
  </si>
  <si>
    <t>武器博物馆</t>
  </si>
  <si>
    <t>托尔斯泰故居 （外观）</t>
  </si>
  <si>
    <t>D9 回程</t>
  </si>
  <si>
    <t>上海16：00</t>
  </si>
  <si>
    <t>Москва-Тула 9 дней/8 ночей</t>
  </si>
  <si>
    <t>День недели</t>
  </si>
  <si>
    <t>№ дня</t>
  </si>
  <si>
    <t>Дата</t>
  </si>
  <si>
    <t>Время</t>
  </si>
  <si>
    <t>Маршрут</t>
  </si>
  <si>
    <t>Стоимость</t>
  </si>
  <si>
    <t>Сумма</t>
  </si>
  <si>
    <t>Комментарии</t>
  </si>
  <si>
    <t>Аренда автобуса</t>
  </si>
  <si>
    <t>Парковка</t>
  </si>
  <si>
    <t>Проживание пока не рассчитываем</t>
  </si>
  <si>
    <t>Трансфер в отель….</t>
  </si>
  <si>
    <t>Ужин(за свой счет)</t>
  </si>
  <si>
    <t>Суб</t>
  </si>
  <si>
    <t>Весь день без автобуса, утро субботы, лучшее время для осмотра метро</t>
  </si>
  <si>
    <t>Самые известные станции метро</t>
  </si>
  <si>
    <t>Учесть билет гида</t>
  </si>
  <si>
    <t>Обед (за свой счет)</t>
  </si>
  <si>
    <t>Варианты питания: в Детском мире (итальянский, русский), возможно рядом бизнес-сеты (но это суббота, в субботу нет ланчей)</t>
  </si>
  <si>
    <t>Лубянская пл. (Здание ФСБ)</t>
  </si>
  <si>
    <t>Никольская ул. (Бывший китайский базар, Первая типография, Здание общежития Красной профессуры, Предшественник МГУ, Бывшее издательство "Иностранный рабочий"), мороженое по рецепту 1954 г. в ГУМе, ГУМ свободное время</t>
  </si>
  <si>
    <t>Красная пл.</t>
  </si>
  <si>
    <t>Манежная пл. (Памятник Жукову, бывш. Гостиница Москва, Бывш. Городская Дума, Александровский сад: МНС + Вечный огонь, памятник Гермогену, памятник 300-ю Романовых)</t>
  </si>
  <si>
    <t>Можно китайское (дешевле), или сет рядом с гостиницей (TBD)</t>
  </si>
  <si>
    <t>Вос</t>
  </si>
  <si>
    <t xml:space="preserve">Машина используется до обеда, или после обеда, в зависимости от Ленинских горок </t>
  </si>
  <si>
    <t>Модуль А, взаимозаменяем с В или С, зависит от конкретного бронивания билетов в Горки</t>
  </si>
  <si>
    <t>Ленинские горки: Музей политической истории + Усадьба + Кабинет в Кремле, на выезде "племяница Семи сестер" - жд станция в Горках (возможно фото рядом, станция приватизирована)</t>
  </si>
  <si>
    <t>Группа от 10 чел. (после 25 чел - две группы), Усадьба (950), Музей политической истории ( 600) + Кабинет в Кремле (600): плохо для планирования, нужно пространство для маневра</t>
  </si>
  <si>
    <t>Можно думать о: Il Letterato, Eat&amp;Talks, Шато Руставели, Долмама, возможно есть варианты рядом, и дешевле.</t>
  </si>
  <si>
    <t>Бывш. Здания Исполкома Интернационала, Кремль</t>
  </si>
  <si>
    <t>Гид отдельно, 1500</t>
  </si>
  <si>
    <t>Алмазный фонд</t>
  </si>
  <si>
    <t>Только с аудиогидом, гид не заходит</t>
  </si>
  <si>
    <t>Оружейная палата</t>
  </si>
  <si>
    <t>Гид отдельно, 2000</t>
  </si>
  <si>
    <t>Выход из Кремля через Боровицкие (Памятник Владимиру, Пашков дом, памятник Александру Первому)</t>
  </si>
  <si>
    <t>Пятый дом Советов, бывш. Академия Фрунзе, Кремлевская больница</t>
  </si>
  <si>
    <t>Надо переместить, не дойдут</t>
  </si>
  <si>
    <t>Пон</t>
  </si>
  <si>
    <t>Модуль В, взаимозаменяем с А или С, зависит от конкретного бронивания билетов в Горки</t>
  </si>
  <si>
    <t>Танк-Маршрут + Тир на месте (недалеко от Кубинки, лучше сделать в один день)</t>
  </si>
  <si>
    <t>С гида та же сумма, добавить в общую стоимость</t>
  </si>
  <si>
    <t>Шашлык заказать отдельно (привозят в Танк-Маршрут)</t>
  </si>
  <si>
    <t>Ссылка на ресторан：https://xn--80akn5b.xn--80aabjyu5amji.xn--p1ai/</t>
  </si>
  <si>
    <t>На месте</t>
  </si>
  <si>
    <t>Модуль С, взаимозаменяем с В или С, зависит от конкретного бронивания билетов в Горки</t>
  </si>
  <si>
    <t xml:space="preserve">Патриот: ГХ ВС </t>
  </si>
  <si>
    <t>Билеты и условия посещения. Режим работы: каждый день 08:00-21:00, закат в Москве не позднее 21:17. Музей 1418 + Храм:  22000/группа (билет 4500+4500, плюс гид с аккредитацией）, группа не больше 20.  В 1418 можно не ходить, тогда обойдемся без гида, о Храме рассказать в автобусе.</t>
  </si>
  <si>
    <t>Кубинка: Музейная площадка №1 + Танковый музей (деревня Партизанов не нужна), направление Внуково, на обратном пути можно посмотреть метро Пыхтино и Рассказовку</t>
  </si>
  <si>
    <t>Танковый музей 550+ экскурсовод 10400 на группу, площадка №1 550, можно не рассказывать - дать свободное время. В танковый музей можно отдельно не ходить, хватит площадки №1, экономия времени и сил</t>
  </si>
  <si>
    <t>Метро</t>
  </si>
  <si>
    <t>Перовские бани</t>
  </si>
  <si>
    <t>Дома:  до 12 чел за 3 часа 24000/дом, до 20 чел. 3 часа 36000/за дом, принадлежности 1800 с чел., купель в доме 10300/дом</t>
  </si>
  <si>
    <t>Перовские бани: ужин с шашлыками</t>
  </si>
  <si>
    <t>Прикинул по меню</t>
  </si>
  <si>
    <t>Вт</t>
  </si>
  <si>
    <t>Новая Третьяковка (конструктивизм)</t>
  </si>
  <si>
    <t>Выходной: пн</t>
  </si>
  <si>
    <t>Пешая прогулка: MUSEON (советские памятники), памятник Петру, Императорский яхт-клуб, Красный октябрь, Патриарший мост, ХХС, самая старая заправка, Институт трудящихся Востока</t>
  </si>
  <si>
    <t>Музей 6-го Съезда КПК</t>
  </si>
  <si>
    <t>Тур по городу</t>
  </si>
  <si>
    <t>Можем не успеть, лучше не писать.</t>
  </si>
  <si>
    <t>Бункер-42</t>
  </si>
  <si>
    <t>Лучше после 19:00, меньше всего людей</t>
  </si>
  <si>
    <t>Обед в Бункере, меню есть на сайте</t>
  </si>
  <si>
    <t>Ср</t>
  </si>
  <si>
    <t>Старая Третьяковка</t>
  </si>
  <si>
    <t>Гиду билет не нужен</t>
  </si>
  <si>
    <t>Пешая прогулка: Горбатый мост, Памятник Репину, Памятник порокам, Софийская наб., Резиденция посла Великобритании, Дом Эйнема, Первый compaund  в мире - Здание на набережной</t>
  </si>
  <si>
    <t>Рядом: Магадан, Чайхона №1, Стрелка</t>
  </si>
  <si>
    <t>Некрополь Новодевичьего кладбища</t>
  </si>
  <si>
    <t>Гостиница Украина (Макет КП и Кремля, Смотровая площадка 120 м)</t>
  </si>
  <si>
    <t>Фото-точка на набережной (Белый дом, Мэрия, СЭВ, Сити)</t>
  </si>
  <si>
    <t>Рэдиссон-круиз</t>
  </si>
  <si>
    <t>На круизе, меню есть</t>
  </si>
  <si>
    <t>Чет</t>
  </si>
  <si>
    <t>Памятник покорителям Космоса</t>
  </si>
  <si>
    <t>ВДНХ</t>
  </si>
  <si>
    <t>Музей Космоса на ВНДХ</t>
  </si>
  <si>
    <t>Под перевод, менее 20 чел. 9500/группа</t>
  </si>
  <si>
    <t>Гараж ФСО</t>
  </si>
  <si>
    <t>Плюс билет гида, экскурсовод: 1-5 чел. 3000，6-12 чел. 4000，13-20 чел. 5000. Можно пробежать самим.</t>
  </si>
  <si>
    <t>Макет Москвы</t>
  </si>
  <si>
    <t>Павильон "Рабочий и колхозница" Внешний осмотр</t>
  </si>
  <si>
    <r>
      <rPr>
        <sz val="11"/>
        <color theme="1"/>
        <rFont val="Aptos Display"/>
        <charset val="134"/>
        <scheme val="major"/>
      </rPr>
      <t xml:space="preserve">Экскурсия по Большому театру </t>
    </r>
    <r>
      <rPr>
        <sz val="11"/>
        <color rgb="FFFF0000"/>
        <rFont val="Aptos Display"/>
        <charset val="134"/>
        <scheme val="major"/>
      </rPr>
      <t>(до 16:00, группа до 15 чел.)</t>
    </r>
  </si>
  <si>
    <t>Лучше не вносить жестко. Подверждение за 4-5 дней, потом оплата. С билетами плохо.</t>
  </si>
  <si>
    <t>Царицыно (внешний осмотр)</t>
  </si>
  <si>
    <t>Фото-стоп напротив СИТИ. Свободное время в СИТИ</t>
  </si>
  <si>
    <t>Пят</t>
  </si>
  <si>
    <t>D8 Тула</t>
  </si>
  <si>
    <t>Если ехать на поезде, то тоже недешево. Туда-обратно примерно 3000/чел. Трансфер утром на вокзал - минимум 5 часов аренды автобуса, на обратном пути встреча - тоже минимум 5 часов)</t>
  </si>
  <si>
    <t>Кремль</t>
  </si>
  <si>
    <t>Музей пряников и мастер-класс</t>
  </si>
  <si>
    <t>Музей самоваров</t>
  </si>
  <si>
    <t>Ясная поляна (возможно, без захода в Дом-музей, с билетами плохо)</t>
  </si>
  <si>
    <t>D9 Тула</t>
  </si>
  <si>
    <t>Расчетное время прибытия в Шереметьево 16:00</t>
  </si>
  <si>
    <t>Музей оружия</t>
  </si>
  <si>
    <t>平摊费用</t>
  </si>
  <si>
    <t>住宿</t>
  </si>
  <si>
    <t>导游费</t>
  </si>
  <si>
    <t>午餐</t>
  </si>
  <si>
    <t>司机2个餐</t>
  </si>
  <si>
    <t>晚餐</t>
  </si>
  <si>
    <t>讲解员：20个人以下9500，门票490</t>
  </si>
  <si>
    <t>加上导游票,  讲解员：1-5个人3000，6-12个人4000，13-20个5000 （门票1450，不含讲解）</t>
  </si>
  <si>
    <t>除以人数 （一个人的费用）</t>
  </si>
  <si>
    <t>按个人算的费用</t>
  </si>
  <si>
    <t>收费高速</t>
  </si>
  <si>
    <t>图拉所有费用 （包括餐钱，住宿，门票等）</t>
  </si>
  <si>
    <t>特利基亚科夫 老画廊 （沙俄打卡油画）</t>
  </si>
  <si>
    <t>特利基亚科夫 新画廊 （了解影响整个20世纪的苏联构建主义风格的诞生和发展）</t>
  </si>
  <si>
    <t xml:space="preserve">市区建筑 КАКИЕ </t>
  </si>
  <si>
    <t>俄式桑拿 Перовские бани</t>
  </si>
  <si>
    <t>库宾卡坦克博物馆 + + 回来的路上参观3个新的网红地铁站</t>
  </si>
  <si>
    <t>大车（35-40坐）3510卢布/小时。4小时+2小时（花六小时钱用4小时）去谢尔盖算10个小时，去图拉12小时算；中巴（18坐不算司机导游舒适度15以内）2500卢布/小时。4小时+1小时，旺季会加百分之15到20</t>
  </si>
  <si>
    <t>莫斯科网红地铁站 КАКИЕ</t>
  </si>
  <si>
    <t>列宁故居+列宁政治历史博物馆+斯大林办公室 （一下午）+  7姐妹的表妹：列宁小车站 （小车站被私有化了，停在旁边拍）</t>
  </si>
  <si>
    <t>桑拿 烧烤 晚餐</t>
  </si>
  <si>
    <t>导游票也算</t>
  </si>
  <si>
    <t>“工人与集体农庄女庄员”展馆（外观）</t>
  </si>
  <si>
    <t>女沙皇宫殿 (外观）</t>
  </si>
  <si>
    <t>总共 每个人（不含机票）</t>
  </si>
  <si>
    <t>(来回火车票要3000/人左右，加上去火车站要最少付5个小时的车费，到了莫斯科也要最少付5个小时）
用车5w5</t>
  </si>
  <si>
    <t>每个人单独的费用</t>
  </si>
  <si>
    <t>20个人</t>
  </si>
  <si>
    <t>10个人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</si>
</sst>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charset val="204"/>
      <scheme val="minor"/>
    </font>
    <font>
      <sz val="11"/>
      <color theme="1"/>
      <name val="Aptos Display"/>
      <charset val="134"/>
      <scheme val="major"/>
    </font>
    <font>
      <b/>
      <sz val="16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sz val="11"/>
      <name val="Aptos Display"/>
      <charset val="134"/>
      <scheme val="major"/>
    </font>
    <font>
      <sz val="11"/>
      <color rgb="FFFF0000"/>
      <name val="Aptos Display"/>
      <charset val="134"/>
      <scheme val="major"/>
    </font>
    <font>
      <u/>
      <sz val="11"/>
      <color theme="10"/>
      <name val="Aptos Narrow"/>
      <charset val="134"/>
      <scheme val="minor"/>
    </font>
    <font>
      <b/>
      <sz val="16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rgb="FFFF000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3" fillId="2" borderId="1" xfId="0" applyFont="1" applyFill="1" applyBorder="1" applyAlignment="1">
      <alignment vertical="center"/>
    </xf>
    <xf numFmtId="20" fontId="1" fillId="4" borderId="3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vertical="top" wrapText="1"/>
    </xf>
    <xf numFmtId="20" fontId="1" fillId="0" borderId="5" xfId="0" applyNumberFormat="1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20" fontId="1" fillId="0" borderId="7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0" fontId="4" fillId="6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/>
    </xf>
    <xf numFmtId="20" fontId="1" fillId="4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14" fontId="3" fillId="0" borderId="0" xfId="0" applyNumberFormat="1" applyFont="1" applyAlignment="1">
      <alignment vertical="center"/>
    </xf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 shrinkToFit="1"/>
    </xf>
    <xf numFmtId="0" fontId="1" fillId="5" borderId="10" xfId="0" applyFont="1" applyFill="1" applyBorder="1" applyAlignment="1">
      <alignment vertical="center"/>
    </xf>
    <xf numFmtId="0" fontId="5" fillId="0" borderId="12" xfId="0" applyFont="1" applyBorder="1" applyAlignment="1">
      <alignment vertical="center" wrapText="1" shrinkToFit="1"/>
    </xf>
    <xf numFmtId="0" fontId="6" fillId="0" borderId="12" xfId="1" applyBorder="1" applyAlignment="1">
      <alignment vertical="center" wrapText="1" shrinkToFit="1"/>
    </xf>
    <xf numFmtId="0" fontId="4" fillId="0" borderId="12" xfId="0" applyFont="1" applyBorder="1" applyAlignment="1">
      <alignment vertical="center" wrapText="1" shrinkToFit="1"/>
    </xf>
    <xf numFmtId="0" fontId="5" fillId="0" borderId="13" xfId="0" applyFont="1" applyBorder="1" applyAlignment="1">
      <alignment vertical="center" wrapText="1" shrinkToFit="1"/>
    </xf>
    <xf numFmtId="0" fontId="1" fillId="0" borderId="12" xfId="0" applyFont="1" applyBorder="1"/>
    <xf numFmtId="0" fontId="5" fillId="0" borderId="7" xfId="0" applyFont="1" applyBorder="1" applyAlignment="1">
      <alignment vertical="center" wrapText="1" shrinkToFit="1"/>
    </xf>
    <xf numFmtId="0" fontId="1" fillId="0" borderId="11" xfId="0" applyFont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4" fillId="0" borderId="12" xfId="0" applyFont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8" fillId="0" borderId="0" xfId="0" applyFont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/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7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8" fillId="0" borderId="10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 wrapText="1"/>
    </xf>
    <xf numFmtId="0" fontId="8" fillId="0" borderId="7" xfId="0" applyFont="1" applyBorder="1" applyAlignment="1">
      <alignment horizontal="center" wrapText="1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vertical="center" wrapText="1" shrinkToFit="1"/>
    </xf>
    <xf numFmtId="0" fontId="8" fillId="0" borderId="12" xfId="0" applyFont="1" applyBorder="1"/>
    <xf numFmtId="0" fontId="8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 shrinkToFi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/>
    </xf>
    <xf numFmtId="0" fontId="9" fillId="7" borderId="7" xfId="0" applyFont="1" applyFill="1" applyBorder="1" applyAlignment="1">
      <alignment horizontal="right" vertical="center"/>
    </xf>
    <xf numFmtId="0" fontId="8" fillId="0" borderId="4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 shrinkToFit="1"/>
    </xf>
    <xf numFmtId="0" fontId="11" fillId="0" borderId="2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 applyAlignment="1">
      <alignment vertical="center"/>
    </xf>
    <xf numFmtId="0" fontId="11" fillId="0" borderId="6" xfId="0" applyFont="1" applyBorder="1"/>
    <xf numFmtId="0" fontId="11" fillId="0" borderId="7" xfId="0" applyFont="1" applyBorder="1"/>
    <xf numFmtId="0" fontId="11" fillId="0" borderId="12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2" fillId="0" borderId="12" xfId="1" applyFont="1" applyFill="1" applyBorder="1" applyAlignment="1">
      <alignment vertical="center" wrapText="1" shrinkToFit="1"/>
    </xf>
    <xf numFmtId="0" fontId="11" fillId="0" borderId="8" xfId="0" applyFont="1" applyBorder="1"/>
    <xf numFmtId="0" fontId="11" fillId="0" borderId="9" xfId="0" applyFont="1" applyBorder="1"/>
    <xf numFmtId="0" fontId="11" fillId="0" borderId="1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3" fillId="0" borderId="1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top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8" xfId="0" applyFont="1" applyBorder="1" applyAlignment="1">
      <alignment horizontal="center"/>
    </xf>
    <xf numFmtId="20" fontId="11" fillId="0" borderId="7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wrapText="1"/>
    </xf>
    <xf numFmtId="0" fontId="8" fillId="0" borderId="13" xfId="0" applyFont="1" applyBorder="1" applyAlignment="1">
      <alignment vertical="center" wrapText="1" shrinkToFi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4" fontId="14" fillId="0" borderId="0" xfId="0" applyNumberFormat="1" applyFont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17"/>
  <sheetViews>
    <sheetView tabSelected="1" zoomScale="76" zoomScaleNormal="76" workbookViewId="0">
      <selection activeCell="G45" sqref="G45"/>
    </sheetView>
  </sheetViews>
  <sheetFormatPr defaultColWidth="8.88671875" defaultRowHeight="14.4" x14ac:dyDescent="0.3"/>
  <cols>
    <col min="1" max="1" width="2" style="107" customWidth="1"/>
    <col min="2" max="4" width="8.88671875" style="107"/>
    <col min="5" max="5" width="20.88671875" style="104" customWidth="1"/>
    <col min="6" max="6" width="99.44140625" style="105" customWidth="1"/>
    <col min="7" max="7" width="14.5546875" style="104" customWidth="1"/>
    <col min="8" max="8" width="14.6640625" style="104" customWidth="1"/>
    <col min="9" max="9" width="10.6640625" style="103" customWidth="1"/>
    <col min="10" max="10" width="69.44140625" style="105" customWidth="1"/>
    <col min="11" max="16384" width="8.88671875" style="107"/>
  </cols>
  <sheetData>
    <row r="3" spans="2:18" x14ac:dyDescent="0.3">
      <c r="F3" s="149" t="s">
        <v>187</v>
      </c>
      <c r="G3" s="197">
        <f>SUM(G11:G116)</f>
        <v>1467240</v>
      </c>
      <c r="H3" s="197">
        <f>SUM(H11:H116)</f>
        <v>966660</v>
      </c>
    </row>
    <row r="4" spans="2:18" x14ac:dyDescent="0.3">
      <c r="F4" s="149" t="s">
        <v>195</v>
      </c>
      <c r="G4" s="197">
        <f>G3/20</f>
        <v>73362</v>
      </c>
      <c r="H4" s="197">
        <f>H3/10</f>
        <v>96666</v>
      </c>
    </row>
    <row r="5" spans="2:18" x14ac:dyDescent="0.3">
      <c r="F5" s="149" t="s">
        <v>196</v>
      </c>
      <c r="G5" s="197">
        <f>SUM(I11:I116)</f>
        <v>80150</v>
      </c>
      <c r="H5" s="197">
        <f>G5</f>
        <v>80150</v>
      </c>
    </row>
    <row r="6" spans="2:18" x14ac:dyDescent="0.3">
      <c r="F6" s="149" t="s">
        <v>211</v>
      </c>
      <c r="G6" s="198">
        <f>G5+G4</f>
        <v>153512</v>
      </c>
      <c r="H6" s="198">
        <f>H5+H4</f>
        <v>176816</v>
      </c>
    </row>
    <row r="7" spans="2:18" ht="21" x14ac:dyDescent="0.3">
      <c r="B7" s="102" t="s">
        <v>0</v>
      </c>
      <c r="C7" s="103"/>
      <c r="D7" s="103"/>
      <c r="J7" s="203">
        <v>46144</v>
      </c>
      <c r="M7" s="108"/>
    </row>
    <row r="8" spans="2:18" ht="9" customHeight="1" thickBot="1" x14ac:dyDescent="0.35">
      <c r="B8" s="102"/>
      <c r="C8" s="103"/>
      <c r="D8" s="103"/>
      <c r="J8" s="106"/>
      <c r="M8" s="108"/>
    </row>
    <row r="9" spans="2:18" x14ac:dyDescent="0.3">
      <c r="B9" s="211" t="s">
        <v>1</v>
      </c>
      <c r="C9" s="206" t="s">
        <v>2</v>
      </c>
      <c r="D9" s="204" t="s">
        <v>3</v>
      </c>
      <c r="E9" s="204" t="s">
        <v>4</v>
      </c>
      <c r="F9" s="204" t="s">
        <v>5</v>
      </c>
      <c r="G9" s="204" t="s">
        <v>187</v>
      </c>
      <c r="H9" s="204"/>
      <c r="I9" s="206" t="s">
        <v>213</v>
      </c>
      <c r="J9" s="208" t="s">
        <v>6</v>
      </c>
      <c r="M9" s="108"/>
    </row>
    <row r="10" spans="2:18" ht="15" thickBot="1" x14ac:dyDescent="0.35">
      <c r="B10" s="212"/>
      <c r="C10" s="207"/>
      <c r="D10" s="205"/>
      <c r="E10" s="205"/>
      <c r="F10" s="205"/>
      <c r="G10" s="196" t="s">
        <v>214</v>
      </c>
      <c r="H10" s="196" t="s">
        <v>215</v>
      </c>
      <c r="I10" s="207"/>
      <c r="J10" s="209"/>
    </row>
    <row r="11" spans="2:18" ht="57.6" x14ac:dyDescent="0.3">
      <c r="B11" s="175"/>
      <c r="C11" s="176" t="s">
        <v>7</v>
      </c>
      <c r="D11" s="177"/>
      <c r="E11" s="178" t="s">
        <v>8</v>
      </c>
      <c r="F11" s="194" t="s">
        <v>9</v>
      </c>
      <c r="G11" s="199">
        <f>6*3510</f>
        <v>21060</v>
      </c>
      <c r="H11" s="199">
        <f>2500*5</f>
        <v>12500</v>
      </c>
      <c r="I11" s="195"/>
      <c r="J11" s="187" t="s">
        <v>204</v>
      </c>
      <c r="P11" s="105"/>
      <c r="Q11" s="105"/>
      <c r="R11" s="105"/>
    </row>
    <row r="12" spans="2:18" x14ac:dyDescent="0.3">
      <c r="B12" s="175"/>
      <c r="C12" s="176"/>
      <c r="D12" s="177"/>
      <c r="E12" s="178"/>
      <c r="F12" s="153" t="s">
        <v>10</v>
      </c>
      <c r="G12" s="155">
        <v>800</v>
      </c>
      <c r="H12" s="155">
        <v>800</v>
      </c>
      <c r="I12" s="174"/>
      <c r="J12" s="187"/>
    </row>
    <row r="13" spans="2:18" x14ac:dyDescent="0.3">
      <c r="B13" s="179"/>
      <c r="C13" s="148"/>
      <c r="D13" s="148"/>
      <c r="E13" s="167"/>
      <c r="F13" s="153" t="s">
        <v>189</v>
      </c>
      <c r="G13" s="155">
        <v>15000</v>
      </c>
      <c r="H13" s="155">
        <v>15000</v>
      </c>
      <c r="I13" s="180"/>
      <c r="J13" s="181"/>
    </row>
    <row r="14" spans="2:18" x14ac:dyDescent="0.3">
      <c r="B14" s="179"/>
      <c r="C14" s="148"/>
      <c r="D14" s="148"/>
      <c r="E14" s="167"/>
      <c r="F14" s="147" t="s">
        <v>11</v>
      </c>
      <c r="G14" s="167"/>
      <c r="H14" s="167"/>
      <c r="I14" s="148">
        <v>2300</v>
      </c>
      <c r="J14" s="166"/>
    </row>
    <row r="15" spans="2:18" ht="15" thickBot="1" x14ac:dyDescent="0.35">
      <c r="B15" s="188"/>
      <c r="C15" s="145"/>
      <c r="D15" s="145"/>
      <c r="E15" s="182"/>
      <c r="F15" s="144" t="s">
        <v>188</v>
      </c>
      <c r="G15" s="182"/>
      <c r="H15" s="182"/>
      <c r="I15" s="145">
        <f>3500</f>
        <v>3500</v>
      </c>
      <c r="J15" s="183"/>
    </row>
    <row r="16" spans="2:18" ht="7.8" customHeight="1" thickBot="1" x14ac:dyDescent="0.35">
      <c r="B16" s="114"/>
      <c r="C16" s="114"/>
      <c r="D16" s="114"/>
      <c r="E16" s="115"/>
      <c r="F16" s="116"/>
      <c r="G16" s="115"/>
      <c r="H16" s="115"/>
      <c r="I16" s="117"/>
      <c r="J16" s="116"/>
    </row>
    <row r="17" spans="2:10" ht="14.4" customHeight="1" x14ac:dyDescent="0.3">
      <c r="B17" s="158" t="s">
        <v>12</v>
      </c>
      <c r="C17" s="172" t="s">
        <v>13</v>
      </c>
      <c r="D17" s="159"/>
      <c r="E17" s="173" t="s">
        <v>8</v>
      </c>
      <c r="F17" s="161" t="s">
        <v>9</v>
      </c>
      <c r="G17" s="172"/>
      <c r="H17" s="172"/>
      <c r="I17" s="162"/>
      <c r="J17" s="163" t="s">
        <v>14</v>
      </c>
    </row>
    <row r="18" spans="2:10" ht="14.4" customHeight="1" x14ac:dyDescent="0.3">
      <c r="B18" s="164"/>
      <c r="C18" s="167"/>
      <c r="D18" s="165"/>
      <c r="E18" s="189"/>
      <c r="F18" s="147" t="s">
        <v>189</v>
      </c>
      <c r="G18" s="167">
        <v>30000</v>
      </c>
      <c r="H18" s="167">
        <v>30000</v>
      </c>
      <c r="I18" s="148"/>
      <c r="J18" s="166"/>
    </row>
    <row r="19" spans="2:10" ht="14.4" customHeight="1" x14ac:dyDescent="0.3">
      <c r="B19" s="164"/>
      <c r="C19" s="167"/>
      <c r="D19" s="165"/>
      <c r="E19" s="189"/>
      <c r="F19" s="147" t="s">
        <v>10</v>
      </c>
      <c r="G19" s="167"/>
      <c r="H19" s="167"/>
      <c r="I19" s="148"/>
      <c r="J19" s="166"/>
    </row>
    <row r="20" spans="2:10" ht="14.4" customHeight="1" x14ac:dyDescent="0.3">
      <c r="B20" s="164"/>
      <c r="C20" s="167"/>
      <c r="D20" s="165"/>
      <c r="E20" s="189"/>
      <c r="F20" s="147" t="s">
        <v>205</v>
      </c>
      <c r="G20" s="167">
        <v>180</v>
      </c>
      <c r="H20" s="167">
        <v>180</v>
      </c>
      <c r="I20" s="148">
        <v>180</v>
      </c>
      <c r="J20" s="135" t="s">
        <v>15</v>
      </c>
    </row>
    <row r="21" spans="2:10" x14ac:dyDescent="0.3">
      <c r="B21" s="164"/>
      <c r="C21" s="165"/>
      <c r="D21" s="165"/>
      <c r="E21" s="167"/>
      <c r="F21" s="147" t="s">
        <v>190</v>
      </c>
      <c r="G21" s="167"/>
      <c r="H21" s="167"/>
      <c r="I21" s="148">
        <v>2300</v>
      </c>
      <c r="J21" s="166" t="s">
        <v>16</v>
      </c>
    </row>
    <row r="22" spans="2:10" x14ac:dyDescent="0.3">
      <c r="B22" s="164"/>
      <c r="C22" s="165"/>
      <c r="D22" s="165"/>
      <c r="E22" s="167"/>
      <c r="F22" s="147" t="s">
        <v>192</v>
      </c>
      <c r="G22" s="167"/>
      <c r="H22" s="167"/>
      <c r="I22" s="148">
        <v>2300</v>
      </c>
      <c r="J22" s="166" t="s">
        <v>21</v>
      </c>
    </row>
    <row r="23" spans="2:10" x14ac:dyDescent="0.3">
      <c r="B23" s="164"/>
      <c r="C23" s="165"/>
      <c r="D23" s="165"/>
      <c r="E23" s="167"/>
      <c r="F23" s="153" t="s">
        <v>17</v>
      </c>
      <c r="G23" s="155"/>
      <c r="H23" s="155"/>
      <c r="I23" s="180">
        <v>0</v>
      </c>
      <c r="J23" s="166"/>
    </row>
    <row r="24" spans="2:10" ht="43.2" x14ac:dyDescent="0.3">
      <c r="B24" s="164"/>
      <c r="C24" s="165"/>
      <c r="D24" s="165"/>
      <c r="E24" s="167"/>
      <c r="F24" s="153" t="s">
        <v>18</v>
      </c>
      <c r="G24" s="155"/>
      <c r="H24" s="155"/>
      <c r="I24" s="180">
        <v>0</v>
      </c>
      <c r="J24" s="166"/>
    </row>
    <row r="25" spans="2:10" x14ac:dyDescent="0.3">
      <c r="B25" s="164"/>
      <c r="C25" s="165"/>
      <c r="D25" s="165"/>
      <c r="E25" s="167"/>
      <c r="F25" s="147" t="s">
        <v>19</v>
      </c>
      <c r="G25" s="167"/>
      <c r="H25" s="167"/>
      <c r="I25" s="148">
        <v>0</v>
      </c>
      <c r="J25" s="166"/>
    </row>
    <row r="26" spans="2:10" ht="28.8" x14ac:dyDescent="0.3">
      <c r="B26" s="164"/>
      <c r="C26" s="165"/>
      <c r="D26" s="165"/>
      <c r="E26" s="167"/>
      <c r="F26" s="153" t="s">
        <v>20</v>
      </c>
      <c r="G26" s="155"/>
      <c r="H26" s="155"/>
      <c r="I26" s="180">
        <v>0</v>
      </c>
      <c r="J26" s="142"/>
    </row>
    <row r="27" spans="2:10" ht="15" thickBot="1" x14ac:dyDescent="0.35">
      <c r="B27" s="169"/>
      <c r="C27" s="170"/>
      <c r="D27" s="170"/>
      <c r="E27" s="182"/>
      <c r="F27" s="154" t="s">
        <v>188</v>
      </c>
      <c r="G27" s="156"/>
      <c r="H27" s="156"/>
      <c r="I27" s="190">
        <v>3500</v>
      </c>
      <c r="J27" s="157"/>
    </row>
    <row r="28" spans="2:10" ht="7.8" customHeight="1" thickBot="1" x14ac:dyDescent="0.35">
      <c r="B28" s="114"/>
      <c r="C28" s="114"/>
      <c r="D28" s="114"/>
      <c r="E28" s="115"/>
      <c r="F28" s="116"/>
      <c r="G28" s="115"/>
      <c r="H28" s="115"/>
      <c r="I28" s="117"/>
      <c r="J28" s="116"/>
    </row>
    <row r="29" spans="2:10" ht="28.8" x14ac:dyDescent="0.3">
      <c r="B29" s="158" t="s">
        <v>22</v>
      </c>
      <c r="C29" s="172" t="s">
        <v>23</v>
      </c>
      <c r="D29" s="159"/>
      <c r="E29" s="173" t="s">
        <v>8</v>
      </c>
      <c r="F29" s="184" t="s">
        <v>9</v>
      </c>
      <c r="G29" s="160">
        <f>3510*8</f>
        <v>28080</v>
      </c>
      <c r="H29" s="160">
        <f>7*2500</f>
        <v>17500</v>
      </c>
      <c r="I29" s="185"/>
      <c r="J29" s="186" t="s">
        <v>24</v>
      </c>
    </row>
    <row r="30" spans="2:10" x14ac:dyDescent="0.3">
      <c r="B30" s="164"/>
      <c r="C30" s="167"/>
      <c r="D30" s="165"/>
      <c r="E30" s="189"/>
      <c r="F30" s="153" t="s">
        <v>189</v>
      </c>
      <c r="G30" s="155">
        <v>30000</v>
      </c>
      <c r="H30" s="155">
        <v>30000</v>
      </c>
      <c r="I30" s="174"/>
      <c r="J30" s="135"/>
    </row>
    <row r="31" spans="2:10" x14ac:dyDescent="0.3">
      <c r="B31" s="164"/>
      <c r="C31" s="167"/>
      <c r="D31" s="165"/>
      <c r="E31" s="189"/>
      <c r="F31" s="153" t="s">
        <v>10</v>
      </c>
      <c r="G31" s="155">
        <v>2500</v>
      </c>
      <c r="H31" s="155">
        <v>2500</v>
      </c>
      <c r="I31" s="174"/>
      <c r="J31" s="166"/>
    </row>
    <row r="32" spans="2:10" ht="43.2" customHeight="1" x14ac:dyDescent="0.3">
      <c r="B32" s="164"/>
      <c r="C32" s="165"/>
      <c r="D32" s="165"/>
      <c r="E32" s="155" t="s">
        <v>25</v>
      </c>
      <c r="F32" s="153" t="s">
        <v>206</v>
      </c>
      <c r="G32" s="155"/>
      <c r="H32" s="155"/>
      <c r="I32" s="148">
        <f>(950+500+600)</f>
        <v>2050</v>
      </c>
      <c r="J32" s="142" t="s">
        <v>26</v>
      </c>
    </row>
    <row r="33" spans="2:10" x14ac:dyDescent="0.3">
      <c r="B33" s="164"/>
      <c r="C33" s="165"/>
      <c r="D33" s="165"/>
      <c r="E33" s="167"/>
      <c r="F33" s="147" t="s">
        <v>190</v>
      </c>
      <c r="G33" s="167"/>
      <c r="H33" s="167"/>
      <c r="I33" s="148">
        <v>2300</v>
      </c>
      <c r="J33" s="166" t="s">
        <v>27</v>
      </c>
    </row>
    <row r="34" spans="2:10" x14ac:dyDescent="0.3">
      <c r="B34" s="164"/>
      <c r="C34" s="165"/>
      <c r="D34" s="165"/>
      <c r="E34" s="167"/>
      <c r="F34" s="147" t="s">
        <v>192</v>
      </c>
      <c r="G34" s="167"/>
      <c r="H34" s="167"/>
      <c r="I34" s="148">
        <v>2300</v>
      </c>
      <c r="J34" s="166"/>
    </row>
    <row r="35" spans="2:10" x14ac:dyDescent="0.3">
      <c r="B35" s="164"/>
      <c r="C35" s="167"/>
      <c r="D35" s="165"/>
      <c r="E35" s="189"/>
      <c r="F35" s="153" t="s">
        <v>28</v>
      </c>
      <c r="G35" s="155">
        <v>1500</v>
      </c>
      <c r="H35" s="155">
        <v>1500</v>
      </c>
      <c r="I35" s="174">
        <v>1500</v>
      </c>
      <c r="J35" s="166" t="s">
        <v>29</v>
      </c>
    </row>
    <row r="36" spans="2:10" x14ac:dyDescent="0.3">
      <c r="B36" s="164"/>
      <c r="C36" s="165"/>
      <c r="D36" s="165"/>
      <c r="E36" s="167"/>
      <c r="F36" s="147" t="s">
        <v>30</v>
      </c>
      <c r="G36" s="167"/>
      <c r="H36" s="167"/>
      <c r="I36" s="148">
        <v>1900</v>
      </c>
      <c r="J36" s="166" t="s">
        <v>31</v>
      </c>
    </row>
    <row r="37" spans="2:10" x14ac:dyDescent="0.3">
      <c r="B37" s="164"/>
      <c r="C37" s="165"/>
      <c r="D37" s="165"/>
      <c r="E37" s="167"/>
      <c r="F37" s="147" t="s">
        <v>32</v>
      </c>
      <c r="G37" s="167">
        <v>2000</v>
      </c>
      <c r="H37" s="167">
        <v>2000</v>
      </c>
      <c r="I37" s="148">
        <v>1800</v>
      </c>
      <c r="J37" s="166" t="s">
        <v>33</v>
      </c>
    </row>
    <row r="38" spans="2:10" ht="16.8" customHeight="1" x14ac:dyDescent="0.3">
      <c r="B38" s="164"/>
      <c r="C38" s="165"/>
      <c r="D38" s="165"/>
      <c r="E38" s="167"/>
      <c r="F38" s="153" t="s">
        <v>34</v>
      </c>
      <c r="G38" s="155"/>
      <c r="H38" s="155"/>
      <c r="I38" s="180">
        <v>0</v>
      </c>
      <c r="J38" s="166" t="s">
        <v>35</v>
      </c>
    </row>
    <row r="39" spans="2:10" x14ac:dyDescent="0.3">
      <c r="B39" s="164"/>
      <c r="C39" s="165"/>
      <c r="D39" s="165"/>
      <c r="E39" s="167"/>
      <c r="F39" s="147" t="s">
        <v>36</v>
      </c>
      <c r="G39" s="167"/>
      <c r="H39" s="167"/>
      <c r="I39" s="148">
        <v>0</v>
      </c>
      <c r="J39" s="166"/>
    </row>
    <row r="40" spans="2:10" ht="15" thickBot="1" x14ac:dyDescent="0.35">
      <c r="B40" s="169"/>
      <c r="C40" s="170"/>
      <c r="D40" s="170"/>
      <c r="E40" s="182"/>
      <c r="F40" s="144" t="s">
        <v>188</v>
      </c>
      <c r="G40" s="182"/>
      <c r="H40" s="182"/>
      <c r="I40" s="145">
        <v>3500</v>
      </c>
      <c r="J40" s="183"/>
    </row>
    <row r="41" spans="2:10" ht="7.8" customHeight="1" thickBot="1" x14ac:dyDescent="0.35">
      <c r="B41" s="114"/>
      <c r="C41" s="114"/>
      <c r="D41" s="114"/>
      <c r="E41" s="115"/>
      <c r="F41" s="116"/>
      <c r="G41" s="115"/>
      <c r="H41" s="115"/>
      <c r="I41" s="117"/>
      <c r="J41" s="116"/>
    </row>
    <row r="42" spans="2:10" x14ac:dyDescent="0.3">
      <c r="B42" s="158" t="s">
        <v>37</v>
      </c>
      <c r="C42" s="159" t="s">
        <v>38</v>
      </c>
      <c r="D42" s="159"/>
      <c r="E42" s="160"/>
      <c r="F42" s="161" t="s">
        <v>9</v>
      </c>
      <c r="G42" s="172">
        <f>14*3510</f>
        <v>49140</v>
      </c>
      <c r="H42" s="172">
        <f>13*2500</f>
        <v>32500</v>
      </c>
      <c r="I42" s="162"/>
      <c r="J42" s="163" t="s">
        <v>39</v>
      </c>
    </row>
    <row r="43" spans="2:10" x14ac:dyDescent="0.3">
      <c r="B43" s="164"/>
      <c r="C43" s="165"/>
      <c r="D43" s="165"/>
      <c r="E43" s="155"/>
      <c r="F43" s="147" t="s">
        <v>189</v>
      </c>
      <c r="G43" s="167">
        <v>30000</v>
      </c>
      <c r="H43" s="167">
        <v>30000</v>
      </c>
      <c r="I43" s="148"/>
      <c r="J43" s="166"/>
    </row>
    <row r="44" spans="2:10" x14ac:dyDescent="0.3">
      <c r="B44" s="164"/>
      <c r="C44" s="165"/>
      <c r="D44" s="165"/>
      <c r="E44" s="155"/>
      <c r="F44" s="147" t="s">
        <v>10</v>
      </c>
      <c r="G44" s="167">
        <v>2500</v>
      </c>
      <c r="H44" s="167">
        <v>2500</v>
      </c>
      <c r="I44" s="148"/>
      <c r="J44" s="166"/>
    </row>
    <row r="45" spans="2:10" ht="43.2" customHeight="1" x14ac:dyDescent="0.3">
      <c r="B45" s="164"/>
      <c r="C45" s="165"/>
      <c r="D45" s="165"/>
      <c r="E45" s="210" t="s">
        <v>40</v>
      </c>
      <c r="F45" s="147" t="s">
        <v>41</v>
      </c>
      <c r="G45" s="215">
        <v>481000</v>
      </c>
      <c r="H45" s="215">
        <v>253000</v>
      </c>
      <c r="I45" s="167"/>
      <c r="J45" s="142" t="s">
        <v>42</v>
      </c>
    </row>
    <row r="46" spans="2:10" x14ac:dyDescent="0.3">
      <c r="B46" s="164"/>
      <c r="C46" s="165"/>
      <c r="D46" s="165"/>
      <c r="E46" s="210"/>
      <c r="F46" s="147" t="s">
        <v>43</v>
      </c>
      <c r="G46" s="167"/>
      <c r="H46" s="167"/>
      <c r="I46" s="148">
        <v>1500</v>
      </c>
      <c r="J46" s="168" t="s">
        <v>44</v>
      </c>
    </row>
    <row r="47" spans="2:10" x14ac:dyDescent="0.3">
      <c r="B47" s="164"/>
      <c r="C47" s="165"/>
      <c r="D47" s="165"/>
      <c r="E47" s="155"/>
      <c r="F47" s="147" t="s">
        <v>191</v>
      </c>
      <c r="G47" s="167">
        <v>3000</v>
      </c>
      <c r="H47" s="167">
        <v>3000</v>
      </c>
      <c r="I47" s="148"/>
      <c r="J47" s="168"/>
    </row>
    <row r="48" spans="2:10" x14ac:dyDescent="0.3">
      <c r="B48" s="164"/>
      <c r="C48" s="165"/>
      <c r="D48" s="165"/>
      <c r="E48" s="167"/>
      <c r="F48" s="147" t="s">
        <v>190</v>
      </c>
      <c r="G48" s="167"/>
      <c r="H48" s="167"/>
      <c r="I48" s="148"/>
      <c r="J48" s="166" t="s">
        <v>45</v>
      </c>
    </row>
    <row r="49" spans="2:11" x14ac:dyDescent="0.3">
      <c r="B49" s="164"/>
      <c r="C49" s="165"/>
      <c r="D49" s="165"/>
      <c r="E49" s="167"/>
      <c r="F49" s="147" t="s">
        <v>192</v>
      </c>
      <c r="G49" s="167"/>
      <c r="H49" s="167"/>
      <c r="I49" s="148">
        <v>2300</v>
      </c>
      <c r="J49" s="166"/>
    </row>
    <row r="50" spans="2:11" ht="57.6" x14ac:dyDescent="0.3">
      <c r="B50" s="164"/>
      <c r="C50" s="165"/>
      <c r="D50" s="165"/>
      <c r="E50" s="210" t="s">
        <v>46</v>
      </c>
      <c r="F50" s="147" t="s">
        <v>47</v>
      </c>
      <c r="G50" s="167"/>
      <c r="H50" s="167"/>
      <c r="I50" s="148"/>
      <c r="J50" s="142" t="s">
        <v>48</v>
      </c>
    </row>
    <row r="51" spans="2:11" ht="57.6" x14ac:dyDescent="0.3">
      <c r="B51" s="164"/>
      <c r="C51" s="165"/>
      <c r="D51" s="165"/>
      <c r="E51" s="210"/>
      <c r="F51" s="147" t="s">
        <v>203</v>
      </c>
      <c r="G51" s="167"/>
      <c r="H51" s="167"/>
      <c r="I51" s="148">
        <v>1100</v>
      </c>
      <c r="J51" s="142" t="s">
        <v>49</v>
      </c>
    </row>
    <row r="52" spans="2:11" x14ac:dyDescent="0.3">
      <c r="B52" s="164"/>
      <c r="C52" s="165"/>
      <c r="D52" s="165"/>
      <c r="E52" s="155"/>
      <c r="F52" s="147" t="s">
        <v>188</v>
      </c>
      <c r="G52" s="167"/>
      <c r="H52" s="167"/>
      <c r="I52" s="148">
        <v>3500</v>
      </c>
      <c r="J52" s="142"/>
    </row>
    <row r="53" spans="2:11" ht="15" thickBot="1" x14ac:dyDescent="0.35">
      <c r="B53" s="169"/>
      <c r="C53" s="170"/>
      <c r="D53" s="170"/>
      <c r="E53" s="156"/>
      <c r="F53" s="144" t="s">
        <v>50</v>
      </c>
      <c r="G53" s="182">
        <v>90</v>
      </c>
      <c r="H53" s="182">
        <v>90</v>
      </c>
      <c r="I53" s="145">
        <v>180</v>
      </c>
      <c r="J53" s="171" t="s">
        <v>15</v>
      </c>
    </row>
    <row r="54" spans="2:11" ht="7.8" customHeight="1" thickBot="1" x14ac:dyDescent="0.35">
      <c r="B54" s="114"/>
      <c r="C54" s="114"/>
      <c r="D54" s="114"/>
      <c r="E54" s="115"/>
      <c r="F54" s="116"/>
      <c r="G54" s="115"/>
      <c r="H54" s="115"/>
      <c r="I54" s="117"/>
      <c r="J54" s="116"/>
    </row>
    <row r="55" spans="2:11" x14ac:dyDescent="0.3">
      <c r="B55" s="118" t="s">
        <v>51</v>
      </c>
      <c r="C55" s="119" t="s">
        <v>52</v>
      </c>
      <c r="D55" s="119"/>
      <c r="E55" s="109"/>
      <c r="F55" s="123" t="s">
        <v>9</v>
      </c>
      <c r="G55" s="109">
        <f>15*3510</f>
        <v>52650</v>
      </c>
      <c r="H55" s="109">
        <f>14*2500</f>
        <v>35000</v>
      </c>
      <c r="I55" s="124"/>
      <c r="J55" s="125" t="s">
        <v>53</v>
      </c>
    </row>
    <row r="56" spans="2:11" x14ac:dyDescent="0.3">
      <c r="B56" s="120"/>
      <c r="C56" s="121"/>
      <c r="D56" s="121"/>
      <c r="E56" s="110"/>
      <c r="F56" s="147" t="s">
        <v>189</v>
      </c>
      <c r="G56" s="110">
        <v>30000</v>
      </c>
      <c r="H56" s="110">
        <v>30000</v>
      </c>
      <c r="I56" s="129"/>
      <c r="J56" s="134"/>
    </row>
    <row r="57" spans="2:11" x14ac:dyDescent="0.3">
      <c r="B57" s="120"/>
      <c r="C57" s="121"/>
      <c r="D57" s="121"/>
      <c r="E57" s="110"/>
      <c r="F57" s="147" t="s">
        <v>10</v>
      </c>
      <c r="G57" s="110">
        <v>2500</v>
      </c>
      <c r="H57" s="110">
        <v>2500</v>
      </c>
      <c r="I57" s="129"/>
      <c r="J57" s="134"/>
    </row>
    <row r="58" spans="2:11" x14ac:dyDescent="0.3">
      <c r="B58" s="120"/>
      <c r="C58" s="121"/>
      <c r="D58" s="121"/>
      <c r="E58" s="110"/>
      <c r="F58" s="147" t="s">
        <v>200</v>
      </c>
      <c r="G58" s="110"/>
      <c r="H58" s="110"/>
      <c r="I58" s="129">
        <v>1400</v>
      </c>
      <c r="J58" s="134" t="s">
        <v>54</v>
      </c>
    </row>
    <row r="59" spans="2:11" ht="43.2" x14ac:dyDescent="0.3">
      <c r="B59" s="120"/>
      <c r="C59" s="121"/>
      <c r="D59" s="121"/>
      <c r="E59" s="110"/>
      <c r="F59" s="122" t="s">
        <v>55</v>
      </c>
      <c r="G59" s="141"/>
      <c r="H59" s="141"/>
      <c r="I59" s="136"/>
      <c r="J59" s="134"/>
    </row>
    <row r="60" spans="2:11" x14ac:dyDescent="0.3">
      <c r="B60" s="120"/>
      <c r="C60" s="121"/>
      <c r="D60" s="121"/>
      <c r="E60" s="110"/>
      <c r="F60" s="128" t="s">
        <v>190</v>
      </c>
      <c r="G60" s="110"/>
      <c r="H60" s="110"/>
      <c r="I60" s="129">
        <v>2300</v>
      </c>
      <c r="J60" s="134"/>
    </row>
    <row r="61" spans="2:11" x14ac:dyDescent="0.3">
      <c r="B61" s="120"/>
      <c r="C61" s="121"/>
      <c r="D61" s="121"/>
      <c r="E61" s="110"/>
      <c r="F61" s="147" t="s">
        <v>191</v>
      </c>
      <c r="G61" s="167">
        <v>3000</v>
      </c>
      <c r="H61" s="167">
        <v>3000</v>
      </c>
      <c r="I61" s="148"/>
      <c r="J61" s="134"/>
    </row>
    <row r="62" spans="2:11" x14ac:dyDescent="0.3">
      <c r="B62" s="120"/>
      <c r="C62" s="121"/>
      <c r="D62" s="121"/>
      <c r="E62" s="121"/>
      <c r="F62" s="128" t="s">
        <v>56</v>
      </c>
      <c r="G62" s="110"/>
      <c r="H62" s="110"/>
      <c r="I62" s="129">
        <v>0</v>
      </c>
      <c r="J62" s="140"/>
      <c r="K62" s="105"/>
    </row>
    <row r="63" spans="2:11" x14ac:dyDescent="0.3">
      <c r="B63" s="120"/>
      <c r="C63" s="121"/>
      <c r="D63" s="121"/>
      <c r="E63" s="121"/>
      <c r="F63" s="147" t="s">
        <v>201</v>
      </c>
      <c r="G63" s="110"/>
      <c r="H63" s="110"/>
      <c r="I63" s="148">
        <v>0</v>
      </c>
      <c r="J63" s="142" t="s">
        <v>57</v>
      </c>
      <c r="K63" s="105"/>
    </row>
    <row r="64" spans="2:11" ht="43.2" x14ac:dyDescent="0.3">
      <c r="B64" s="120"/>
      <c r="C64" s="121"/>
      <c r="D64" s="121"/>
      <c r="E64" s="110"/>
      <c r="F64" s="153" t="s">
        <v>202</v>
      </c>
      <c r="G64" s="141">
        <f>36000+10300</f>
        <v>46300</v>
      </c>
      <c r="H64" s="141">
        <f>24000+10300</f>
        <v>34300</v>
      </c>
      <c r="I64" s="155">
        <v>1800</v>
      </c>
      <c r="J64" s="142" t="s">
        <v>58</v>
      </c>
      <c r="K64" s="105"/>
    </row>
    <row r="65" spans="2:10" x14ac:dyDescent="0.3">
      <c r="B65" s="120"/>
      <c r="C65" s="121"/>
      <c r="D65" s="121"/>
      <c r="E65" s="110"/>
      <c r="F65" s="153" t="s">
        <v>207</v>
      </c>
      <c r="G65" s="200"/>
      <c r="H65" s="200"/>
      <c r="I65" s="155">
        <f>1100+1100+1400+2600</f>
        <v>6200</v>
      </c>
      <c r="J65" s="142" t="s">
        <v>59</v>
      </c>
    </row>
    <row r="66" spans="2:10" ht="15" thickBot="1" x14ac:dyDescent="0.35">
      <c r="B66" s="111"/>
      <c r="C66" s="112"/>
      <c r="D66" s="112"/>
      <c r="E66" s="113"/>
      <c r="F66" s="154" t="s">
        <v>188</v>
      </c>
      <c r="G66" s="143"/>
      <c r="H66" s="143"/>
      <c r="I66" s="156">
        <v>3500</v>
      </c>
      <c r="J66" s="157"/>
    </row>
    <row r="67" spans="2:10" ht="7.8" customHeight="1" thickBot="1" x14ac:dyDescent="0.35">
      <c r="B67" s="114"/>
      <c r="C67" s="114"/>
      <c r="D67" s="114"/>
      <c r="E67" s="115"/>
      <c r="F67" s="116"/>
      <c r="G67" s="115"/>
      <c r="H67" s="115"/>
      <c r="I67" s="117"/>
      <c r="J67" s="116"/>
    </row>
    <row r="68" spans="2:10" x14ac:dyDescent="0.3">
      <c r="B68" s="118" t="s">
        <v>60</v>
      </c>
      <c r="C68" s="119" t="s">
        <v>61</v>
      </c>
      <c r="D68" s="119"/>
      <c r="E68" s="109"/>
      <c r="F68" s="123" t="s">
        <v>9</v>
      </c>
      <c r="G68" s="109">
        <f>15*3510</f>
        <v>52650</v>
      </c>
      <c r="H68" s="109">
        <f>14*2500</f>
        <v>35000</v>
      </c>
      <c r="I68" s="124"/>
      <c r="J68" s="125" t="s">
        <v>53</v>
      </c>
    </row>
    <row r="69" spans="2:10" x14ac:dyDescent="0.3">
      <c r="B69" s="120"/>
      <c r="C69" s="121"/>
      <c r="D69" s="121"/>
      <c r="E69" s="110"/>
      <c r="F69" s="128" t="s">
        <v>10</v>
      </c>
      <c r="G69" s="110">
        <v>2500</v>
      </c>
      <c r="H69" s="110">
        <v>2500</v>
      </c>
      <c r="I69" s="129"/>
      <c r="J69" s="134"/>
    </row>
    <row r="70" spans="2:10" x14ac:dyDescent="0.3">
      <c r="B70" s="120"/>
      <c r="C70" s="121"/>
      <c r="D70" s="121"/>
      <c r="E70" s="110"/>
      <c r="F70" s="147" t="s">
        <v>189</v>
      </c>
      <c r="G70" s="110">
        <v>30000</v>
      </c>
      <c r="H70" s="110">
        <v>30000</v>
      </c>
      <c r="I70" s="129"/>
      <c r="J70" s="134"/>
    </row>
    <row r="71" spans="2:10" x14ac:dyDescent="0.3">
      <c r="B71" s="120"/>
      <c r="C71" s="121"/>
      <c r="D71" s="121"/>
      <c r="E71" s="110"/>
      <c r="F71" s="147" t="s">
        <v>199</v>
      </c>
      <c r="G71" s="110"/>
      <c r="H71" s="110"/>
      <c r="I71" s="129">
        <v>1400</v>
      </c>
      <c r="J71" s="134" t="s">
        <v>62</v>
      </c>
    </row>
    <row r="72" spans="2:10" ht="46.2" customHeight="1" x14ac:dyDescent="0.3">
      <c r="B72" s="120"/>
      <c r="C72" s="121"/>
      <c r="D72" s="121"/>
      <c r="E72" s="110"/>
      <c r="F72" s="122" t="s">
        <v>63</v>
      </c>
      <c r="G72" s="141"/>
      <c r="H72" s="141"/>
      <c r="I72" s="136"/>
      <c r="J72" s="134"/>
    </row>
    <row r="73" spans="2:10" x14ac:dyDescent="0.3">
      <c r="B73" s="120"/>
      <c r="C73" s="121"/>
      <c r="D73" s="121"/>
      <c r="E73" s="110"/>
      <c r="F73" s="128" t="s">
        <v>190</v>
      </c>
      <c r="G73" s="110"/>
      <c r="H73" s="110"/>
      <c r="I73" s="129">
        <v>2300</v>
      </c>
      <c r="J73" s="134" t="s">
        <v>64</v>
      </c>
    </row>
    <row r="74" spans="2:10" x14ac:dyDescent="0.3">
      <c r="B74" s="120"/>
      <c r="C74" s="121"/>
      <c r="D74" s="121"/>
      <c r="E74" s="110"/>
      <c r="F74" s="128" t="s">
        <v>192</v>
      </c>
      <c r="G74" s="110"/>
      <c r="H74" s="110"/>
      <c r="I74" s="129">
        <v>2300</v>
      </c>
      <c r="J74" s="134"/>
    </row>
    <row r="75" spans="2:10" x14ac:dyDescent="0.3">
      <c r="B75" s="120"/>
      <c r="C75" s="121"/>
      <c r="D75" s="121"/>
      <c r="E75" s="110"/>
      <c r="F75" s="147" t="s">
        <v>191</v>
      </c>
      <c r="G75" s="167">
        <v>3000</v>
      </c>
      <c r="H75" s="167">
        <v>3000</v>
      </c>
      <c r="I75" s="148"/>
      <c r="J75" s="134"/>
    </row>
    <row r="76" spans="2:10" x14ac:dyDescent="0.3">
      <c r="B76" s="120"/>
      <c r="C76" s="121"/>
      <c r="D76" s="121"/>
      <c r="E76" s="110"/>
      <c r="F76" s="128" t="s">
        <v>65</v>
      </c>
      <c r="G76" s="110"/>
      <c r="H76" s="110"/>
      <c r="I76" s="129">
        <v>300</v>
      </c>
      <c r="J76" s="134" t="s">
        <v>54</v>
      </c>
    </row>
    <row r="77" spans="2:10" ht="31.2" customHeight="1" x14ac:dyDescent="0.3">
      <c r="B77" s="120"/>
      <c r="C77" s="121"/>
      <c r="D77" s="121"/>
      <c r="E77" s="110"/>
      <c r="F77" s="122" t="s">
        <v>66</v>
      </c>
      <c r="G77" s="141">
        <v>1000</v>
      </c>
      <c r="H77" s="141">
        <v>1000</v>
      </c>
      <c r="I77" s="136">
        <v>1000</v>
      </c>
      <c r="J77" s="134"/>
    </row>
    <row r="78" spans="2:10" x14ac:dyDescent="0.3">
      <c r="B78" s="120"/>
      <c r="C78" s="121"/>
      <c r="D78" s="121"/>
      <c r="E78" s="110"/>
      <c r="F78" s="128" t="s">
        <v>67</v>
      </c>
      <c r="G78" s="110"/>
      <c r="H78" s="110"/>
      <c r="I78" s="129"/>
      <c r="J78" s="139"/>
    </row>
    <row r="79" spans="2:10" x14ac:dyDescent="0.3">
      <c r="B79" s="120"/>
      <c r="C79" s="121"/>
      <c r="D79" s="121"/>
      <c r="E79" s="110"/>
      <c r="F79" s="128" t="s">
        <v>68</v>
      </c>
      <c r="G79" s="110">
        <v>3800</v>
      </c>
      <c r="H79" s="110">
        <v>3800</v>
      </c>
      <c r="I79" s="129">
        <v>3800</v>
      </c>
      <c r="J79" s="139" t="s">
        <v>208</v>
      </c>
    </row>
    <row r="80" spans="2:10" ht="15" thickBot="1" x14ac:dyDescent="0.35">
      <c r="B80" s="111"/>
      <c r="C80" s="112"/>
      <c r="D80" s="112"/>
      <c r="E80" s="113"/>
      <c r="F80" s="137" t="s">
        <v>188</v>
      </c>
      <c r="G80" s="113"/>
      <c r="H80" s="113"/>
      <c r="I80" s="138">
        <v>3500</v>
      </c>
      <c r="J80" s="191"/>
    </row>
    <row r="81" spans="2:10" ht="7.8" customHeight="1" thickBot="1" x14ac:dyDescent="0.35">
      <c r="B81" s="114"/>
      <c r="C81" s="114"/>
      <c r="D81" s="114"/>
      <c r="E81" s="115"/>
      <c r="F81" s="116"/>
      <c r="G81" s="115"/>
      <c r="H81" s="115"/>
      <c r="I81" s="117"/>
      <c r="J81" s="116"/>
    </row>
    <row r="82" spans="2:10" x14ac:dyDescent="0.3">
      <c r="B82" s="118" t="s">
        <v>69</v>
      </c>
      <c r="C82" s="119" t="s">
        <v>70</v>
      </c>
      <c r="D82" s="119"/>
      <c r="E82" s="109"/>
      <c r="F82" s="123" t="s">
        <v>9</v>
      </c>
      <c r="G82" s="109">
        <f>14*3510</f>
        <v>49140</v>
      </c>
      <c r="H82" s="109">
        <f>13*2500</f>
        <v>32500</v>
      </c>
      <c r="I82" s="124"/>
      <c r="J82" s="125" t="s">
        <v>39</v>
      </c>
    </row>
    <row r="83" spans="2:10" x14ac:dyDescent="0.3">
      <c r="B83" s="120"/>
      <c r="C83" s="121"/>
      <c r="D83" s="121"/>
      <c r="E83" s="110"/>
      <c r="F83" s="128" t="s">
        <v>10</v>
      </c>
      <c r="G83" s="110">
        <v>2500</v>
      </c>
      <c r="H83" s="110">
        <v>2500</v>
      </c>
      <c r="I83" s="129"/>
      <c r="J83" s="134"/>
    </row>
    <row r="84" spans="2:10" x14ac:dyDescent="0.3">
      <c r="B84" s="120"/>
      <c r="C84" s="121"/>
      <c r="D84" s="121"/>
      <c r="E84" s="110"/>
      <c r="F84" s="128" t="s">
        <v>189</v>
      </c>
      <c r="G84" s="110">
        <v>30000</v>
      </c>
      <c r="H84" s="110">
        <v>30000</v>
      </c>
      <c r="I84" s="129"/>
      <c r="J84" s="134"/>
    </row>
    <row r="85" spans="2:10" x14ac:dyDescent="0.3">
      <c r="B85" s="120"/>
      <c r="C85" s="121"/>
      <c r="D85" s="121"/>
      <c r="E85" s="110"/>
      <c r="F85" s="128" t="s">
        <v>71</v>
      </c>
      <c r="G85" s="110"/>
      <c r="H85" s="110"/>
      <c r="I85" s="129"/>
      <c r="J85" s="134"/>
    </row>
    <row r="86" spans="2:10" x14ac:dyDescent="0.3">
      <c r="B86" s="120"/>
      <c r="C86" s="121"/>
      <c r="D86" s="121"/>
      <c r="E86" s="110"/>
      <c r="F86" s="128" t="s">
        <v>72</v>
      </c>
      <c r="G86" s="110"/>
      <c r="H86" s="110"/>
      <c r="I86" s="129"/>
      <c r="J86" s="134"/>
    </row>
    <row r="87" spans="2:10" x14ac:dyDescent="0.3">
      <c r="B87" s="120"/>
      <c r="C87" s="121"/>
      <c r="D87" s="121"/>
      <c r="E87" s="110"/>
      <c r="F87" s="128" t="s">
        <v>73</v>
      </c>
      <c r="G87" s="110">
        <f>9500+490</f>
        <v>9990</v>
      </c>
      <c r="H87" s="110">
        <f>9500+490</f>
        <v>9990</v>
      </c>
      <c r="I87" s="136">
        <v>490</v>
      </c>
      <c r="J87" s="134" t="s">
        <v>193</v>
      </c>
    </row>
    <row r="88" spans="2:10" ht="28.2" customHeight="1" x14ac:dyDescent="0.3">
      <c r="B88" s="120"/>
      <c r="C88" s="121"/>
      <c r="D88" s="121"/>
      <c r="E88" s="110"/>
      <c r="F88" s="128" t="s">
        <v>74</v>
      </c>
      <c r="G88" s="110"/>
      <c r="H88" s="110"/>
      <c r="I88" s="136">
        <v>1450</v>
      </c>
      <c r="J88" s="135" t="s">
        <v>194</v>
      </c>
    </row>
    <row r="89" spans="2:10" x14ac:dyDescent="0.3">
      <c r="B89" s="120"/>
      <c r="C89" s="121"/>
      <c r="D89" s="121"/>
      <c r="E89" s="110"/>
      <c r="F89" s="128" t="s">
        <v>75</v>
      </c>
      <c r="G89" s="110"/>
      <c r="H89" s="110"/>
      <c r="I89" s="129">
        <v>0</v>
      </c>
      <c r="J89" s="134"/>
    </row>
    <row r="90" spans="2:10" x14ac:dyDescent="0.3">
      <c r="B90" s="120"/>
      <c r="C90" s="121"/>
      <c r="D90" s="121"/>
      <c r="E90" s="110"/>
      <c r="F90" s="147" t="s">
        <v>209</v>
      </c>
      <c r="G90" s="110"/>
      <c r="H90" s="110"/>
      <c r="I90" s="129">
        <v>0</v>
      </c>
      <c r="J90" s="134"/>
    </row>
    <row r="91" spans="2:10" x14ac:dyDescent="0.3">
      <c r="B91" s="120"/>
      <c r="C91" s="121"/>
      <c r="D91" s="121"/>
      <c r="E91" s="110"/>
      <c r="F91" s="147" t="s">
        <v>190</v>
      </c>
      <c r="G91" s="110"/>
      <c r="H91" s="110"/>
      <c r="I91" s="129">
        <v>2300</v>
      </c>
      <c r="J91" s="134"/>
    </row>
    <row r="92" spans="2:10" x14ac:dyDescent="0.3">
      <c r="B92" s="120"/>
      <c r="C92" s="121"/>
      <c r="D92" s="121"/>
      <c r="E92" s="110"/>
      <c r="F92" s="147" t="s">
        <v>192</v>
      </c>
      <c r="G92" s="110"/>
      <c r="H92" s="110"/>
      <c r="I92" s="129">
        <v>2300</v>
      </c>
      <c r="J92" s="134"/>
    </row>
    <row r="93" spans="2:10" x14ac:dyDescent="0.3">
      <c r="B93" s="120"/>
      <c r="C93" s="121"/>
      <c r="D93" s="121"/>
      <c r="E93" s="110"/>
      <c r="F93" s="147" t="s">
        <v>191</v>
      </c>
      <c r="G93" s="167">
        <v>3000</v>
      </c>
      <c r="H93" s="167">
        <v>3000</v>
      </c>
      <c r="I93" s="148"/>
      <c r="J93" s="134"/>
    </row>
    <row r="94" spans="2:10" x14ac:dyDescent="0.3">
      <c r="B94" s="120"/>
      <c r="C94" s="121"/>
      <c r="D94" s="121"/>
      <c r="E94" s="110"/>
      <c r="F94" s="147" t="s">
        <v>76</v>
      </c>
      <c r="G94" s="110"/>
      <c r="H94" s="110"/>
      <c r="I94" s="129">
        <v>0</v>
      </c>
      <c r="J94" s="130"/>
    </row>
    <row r="95" spans="2:10" x14ac:dyDescent="0.3">
      <c r="B95" s="120"/>
      <c r="C95" s="121"/>
      <c r="D95" s="121"/>
      <c r="E95" s="110"/>
      <c r="F95" s="153" t="s">
        <v>210</v>
      </c>
      <c r="G95" s="141"/>
      <c r="H95" s="141"/>
      <c r="I95" s="136">
        <v>0</v>
      </c>
      <c r="J95" s="134"/>
    </row>
    <row r="96" spans="2:10" x14ac:dyDescent="0.3">
      <c r="B96" s="120"/>
      <c r="C96" s="121"/>
      <c r="D96" s="121"/>
      <c r="E96" s="110"/>
      <c r="F96" s="122" t="s">
        <v>77</v>
      </c>
      <c r="G96" s="141"/>
      <c r="H96" s="141"/>
      <c r="I96" s="136">
        <v>0</v>
      </c>
      <c r="J96" s="134"/>
    </row>
    <row r="97" spans="2:10" ht="15" thickBot="1" x14ac:dyDescent="0.35">
      <c r="B97" s="111"/>
      <c r="C97" s="112"/>
      <c r="D97" s="112"/>
      <c r="E97" s="113"/>
      <c r="F97" s="192" t="s">
        <v>188</v>
      </c>
      <c r="G97" s="201"/>
      <c r="H97" s="201"/>
      <c r="I97" s="193">
        <v>3500</v>
      </c>
      <c r="J97" s="146"/>
    </row>
    <row r="98" spans="2:10" ht="7.8" customHeight="1" thickBot="1" x14ac:dyDescent="0.35">
      <c r="B98" s="114"/>
      <c r="C98" s="114"/>
      <c r="D98" s="114"/>
      <c r="E98" s="115"/>
      <c r="F98" s="116"/>
      <c r="G98" s="115"/>
      <c r="H98" s="115"/>
      <c r="I98" s="117"/>
      <c r="J98" s="116"/>
    </row>
    <row r="99" spans="2:10" ht="45" customHeight="1" x14ac:dyDescent="0.3">
      <c r="B99" s="118" t="s">
        <v>69</v>
      </c>
      <c r="C99" s="119" t="s">
        <v>78</v>
      </c>
      <c r="D99" s="119"/>
      <c r="E99" s="109"/>
      <c r="F99" s="123" t="s">
        <v>9</v>
      </c>
      <c r="G99" s="109">
        <v>55000</v>
      </c>
      <c r="H99" s="202">
        <v>35700</v>
      </c>
      <c r="I99" s="124"/>
      <c r="J99" s="131" t="s">
        <v>212</v>
      </c>
    </row>
    <row r="100" spans="2:10" ht="13.8" customHeight="1" x14ac:dyDescent="0.3">
      <c r="B100" s="150"/>
      <c r="C100" s="151"/>
      <c r="D100" s="151"/>
      <c r="E100" s="152"/>
      <c r="F100" s="126" t="s">
        <v>189</v>
      </c>
      <c r="G100" s="152">
        <v>30000</v>
      </c>
      <c r="H100" s="152">
        <v>30000</v>
      </c>
      <c r="I100" s="127"/>
      <c r="J100" s="132"/>
    </row>
    <row r="101" spans="2:10" x14ac:dyDescent="0.3">
      <c r="B101" s="120"/>
      <c r="C101" s="121"/>
      <c r="D101" s="121"/>
      <c r="E101" s="110"/>
      <c r="F101" s="128" t="s">
        <v>10</v>
      </c>
      <c r="G101" s="110">
        <v>2500</v>
      </c>
      <c r="H101" s="110">
        <v>2500</v>
      </c>
      <c r="I101" s="129"/>
      <c r="J101" s="134"/>
    </row>
    <row r="102" spans="2:10" x14ac:dyDescent="0.3">
      <c r="B102" s="120"/>
      <c r="C102" s="121"/>
      <c r="D102" s="121"/>
      <c r="E102" s="110"/>
      <c r="F102" s="128" t="s">
        <v>197</v>
      </c>
      <c r="G102" s="110">
        <v>4000</v>
      </c>
      <c r="H102" s="110">
        <v>4000</v>
      </c>
      <c r="I102" s="129"/>
      <c r="J102" s="134"/>
    </row>
    <row r="103" spans="2:10" x14ac:dyDescent="0.3">
      <c r="B103" s="120"/>
      <c r="C103" s="121"/>
      <c r="D103" s="121"/>
      <c r="E103" s="110"/>
      <c r="F103" s="133" t="s">
        <v>198</v>
      </c>
      <c r="G103" s="110">
        <f>16000*20</f>
        <v>320000</v>
      </c>
      <c r="H103" s="110">
        <f>17500*10</f>
        <v>175000</v>
      </c>
      <c r="I103" s="129"/>
      <c r="J103" s="134"/>
    </row>
    <row r="104" spans="2:10" x14ac:dyDescent="0.3">
      <c r="B104" s="120"/>
      <c r="C104" s="121"/>
      <c r="D104" s="121"/>
      <c r="E104" s="110"/>
      <c r="F104" s="128" t="s">
        <v>79</v>
      </c>
      <c r="G104" s="110"/>
      <c r="H104" s="110"/>
      <c r="I104" s="129">
        <v>0</v>
      </c>
      <c r="J104" s="134" t="s">
        <v>80</v>
      </c>
    </row>
    <row r="105" spans="2:10" x14ac:dyDescent="0.3">
      <c r="B105" s="120"/>
      <c r="C105" s="121"/>
      <c r="D105" s="121"/>
      <c r="E105" s="110"/>
      <c r="F105" s="122" t="s">
        <v>81</v>
      </c>
      <c r="G105" s="141"/>
      <c r="H105" s="141"/>
      <c r="I105" s="136"/>
      <c r="J105" s="134"/>
    </row>
    <row r="106" spans="2:10" x14ac:dyDescent="0.3">
      <c r="B106" s="120"/>
      <c r="C106" s="121"/>
      <c r="D106" s="121"/>
      <c r="E106" s="110"/>
      <c r="F106" s="122" t="s">
        <v>82</v>
      </c>
      <c r="G106" s="141"/>
      <c r="H106" s="141"/>
      <c r="I106" s="136"/>
      <c r="J106" s="134"/>
    </row>
    <row r="107" spans="2:10" x14ac:dyDescent="0.3">
      <c r="B107" s="120"/>
      <c r="C107" s="121"/>
      <c r="D107" s="121"/>
      <c r="E107" s="110"/>
      <c r="F107" s="128" t="s">
        <v>190</v>
      </c>
      <c r="G107" s="110"/>
      <c r="H107" s="110"/>
      <c r="I107" s="129"/>
      <c r="J107" s="134"/>
    </row>
    <row r="108" spans="2:10" x14ac:dyDescent="0.3">
      <c r="B108" s="120"/>
      <c r="C108" s="121"/>
      <c r="D108" s="121"/>
      <c r="E108" s="110"/>
      <c r="F108" s="122" t="s">
        <v>83</v>
      </c>
      <c r="G108" s="141"/>
      <c r="H108" s="141"/>
      <c r="I108" s="136"/>
      <c r="J108" s="134"/>
    </row>
    <row r="109" spans="2:10" x14ac:dyDescent="0.3">
      <c r="B109" s="120"/>
      <c r="C109" s="121"/>
      <c r="D109" s="121"/>
      <c r="E109" s="110"/>
      <c r="F109" s="128" t="s">
        <v>84</v>
      </c>
      <c r="G109" s="110"/>
      <c r="H109" s="110"/>
      <c r="I109" s="129"/>
      <c r="J109" s="134"/>
    </row>
    <row r="110" spans="2:10" x14ac:dyDescent="0.3">
      <c r="B110" s="111"/>
      <c r="C110" s="112"/>
      <c r="D110" s="112"/>
      <c r="E110" s="113"/>
      <c r="F110" s="137" t="s">
        <v>192</v>
      </c>
      <c r="G110" s="113"/>
      <c r="H110" s="113"/>
      <c r="I110" s="138"/>
      <c r="J110" s="146"/>
    </row>
    <row r="111" spans="2:10" x14ac:dyDescent="0.3">
      <c r="J111" s="108"/>
    </row>
    <row r="112" spans="2:10" x14ac:dyDescent="0.3">
      <c r="B112" s="118" t="s">
        <v>69</v>
      </c>
      <c r="C112" s="119" t="s">
        <v>85</v>
      </c>
      <c r="D112" s="119"/>
      <c r="E112" s="109"/>
      <c r="F112" s="123" t="s">
        <v>9</v>
      </c>
      <c r="G112" s="109">
        <f>6*3510</f>
        <v>21060</v>
      </c>
      <c r="H112" s="109">
        <f>2500*5</f>
        <v>12500</v>
      </c>
      <c r="I112" s="124"/>
      <c r="J112" s="125" t="s">
        <v>86</v>
      </c>
    </row>
    <row r="113" spans="2:10" x14ac:dyDescent="0.3">
      <c r="B113" s="120"/>
      <c r="C113" s="121"/>
      <c r="D113" s="121"/>
      <c r="E113" s="110"/>
      <c r="F113" s="128" t="s">
        <v>10</v>
      </c>
      <c r="G113" s="110">
        <v>800</v>
      </c>
      <c r="H113" s="110">
        <v>800</v>
      </c>
      <c r="I113" s="129"/>
      <c r="J113" s="134"/>
    </row>
    <row r="114" spans="2:10" x14ac:dyDescent="0.3">
      <c r="B114" s="120"/>
      <c r="C114" s="121"/>
      <c r="D114" s="121"/>
      <c r="E114" s="110"/>
      <c r="F114" s="122" t="s">
        <v>190</v>
      </c>
      <c r="G114" s="141"/>
      <c r="H114" s="141"/>
      <c r="I114" s="136">
        <v>2300</v>
      </c>
      <c r="J114" s="134"/>
    </row>
    <row r="115" spans="2:10" x14ac:dyDescent="0.3">
      <c r="B115" s="120"/>
      <c r="C115" s="121"/>
      <c r="D115" s="121"/>
      <c r="E115" s="110"/>
      <c r="F115" s="122" t="s">
        <v>189</v>
      </c>
      <c r="G115" s="141">
        <v>15000</v>
      </c>
      <c r="H115" s="141">
        <v>15000</v>
      </c>
      <c r="I115" s="136"/>
      <c r="J115" s="134"/>
    </row>
    <row r="116" spans="2:10" ht="15" thickBot="1" x14ac:dyDescent="0.35">
      <c r="B116" s="111"/>
      <c r="C116" s="112"/>
      <c r="D116" s="112"/>
      <c r="E116" s="113"/>
      <c r="F116" s="137"/>
      <c r="G116" s="113"/>
      <c r="H116" s="113"/>
      <c r="I116" s="138"/>
      <c r="J116" s="146"/>
    </row>
    <row r="117" spans="2:10" ht="7.8" customHeight="1" x14ac:dyDescent="0.3">
      <c r="B117" s="114"/>
      <c r="C117" s="114"/>
      <c r="D117" s="114"/>
      <c r="E117" s="115"/>
      <c r="F117" s="116"/>
      <c r="G117" s="115"/>
      <c r="H117" s="115"/>
      <c r="I117" s="117"/>
      <c r="J117" s="116"/>
    </row>
  </sheetData>
  <mergeCells count="10">
    <mergeCell ref="E50:E51"/>
    <mergeCell ref="B9:B10"/>
    <mergeCell ref="C9:C10"/>
    <mergeCell ref="D9:D10"/>
    <mergeCell ref="E9:E10"/>
    <mergeCell ref="F9:F10"/>
    <mergeCell ref="G9:H9"/>
    <mergeCell ref="I9:I10"/>
    <mergeCell ref="J9:J10"/>
    <mergeCell ref="E45:E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94"/>
  <sheetViews>
    <sheetView workbookViewId="0">
      <selection activeCell="K19" sqref="K19"/>
    </sheetView>
  </sheetViews>
  <sheetFormatPr defaultColWidth="8.88671875" defaultRowHeight="14.4" x14ac:dyDescent="0.25"/>
  <cols>
    <col min="1" max="1" width="2" style="2" customWidth="1"/>
    <col min="2" max="4" width="8.88671875" style="2"/>
    <col min="5" max="5" width="19.33203125" style="3" customWidth="1"/>
    <col min="6" max="6" width="99.44140625" style="4" customWidth="1"/>
    <col min="7" max="8" width="11.44140625" style="5" customWidth="1"/>
    <col min="9" max="9" width="63" style="4" customWidth="1"/>
    <col min="10" max="16384" width="8.88671875" style="2"/>
  </cols>
  <sheetData>
    <row r="1" spans="2:12" ht="20.399999999999999" x14ac:dyDescent="0.25">
      <c r="B1" s="6" t="s">
        <v>87</v>
      </c>
      <c r="C1" s="5"/>
      <c r="D1" s="5"/>
      <c r="I1" s="75">
        <v>46109</v>
      </c>
      <c r="L1" s="76"/>
    </row>
    <row r="2" spans="2:12" ht="57.6" x14ac:dyDescent="0.25">
      <c r="B2" s="7" t="s">
        <v>88</v>
      </c>
      <c r="C2" s="7" t="s">
        <v>89</v>
      </c>
      <c r="D2" s="8" t="s">
        <v>90</v>
      </c>
      <c r="E2" s="8" t="s">
        <v>91</v>
      </c>
      <c r="F2" s="31" t="s">
        <v>92</v>
      </c>
      <c r="G2" s="8" t="s">
        <v>93</v>
      </c>
      <c r="H2" s="7" t="s">
        <v>94</v>
      </c>
      <c r="I2" s="31" t="s">
        <v>95</v>
      </c>
    </row>
    <row r="3" spans="2:12" x14ac:dyDescent="0.25">
      <c r="B3" s="9"/>
      <c r="C3" s="10" t="s">
        <v>7</v>
      </c>
      <c r="D3" s="11"/>
      <c r="E3" s="32"/>
      <c r="F3" s="33" t="s">
        <v>96</v>
      </c>
      <c r="G3" s="34"/>
      <c r="H3" s="16"/>
      <c r="I3" s="77"/>
    </row>
    <row r="4" spans="2:12" x14ac:dyDescent="0.25">
      <c r="B4" s="12"/>
      <c r="C4" s="13"/>
      <c r="D4" s="14"/>
      <c r="E4" s="35"/>
      <c r="F4" s="26" t="s">
        <v>97</v>
      </c>
      <c r="G4" s="34">
        <v>800</v>
      </c>
      <c r="H4" s="16"/>
      <c r="I4" s="78"/>
    </row>
    <row r="5" spans="2:12" ht="57.6" x14ac:dyDescent="0.25">
      <c r="B5" s="15"/>
      <c r="C5" s="16"/>
      <c r="D5" s="16"/>
      <c r="E5" s="36" t="s">
        <v>98</v>
      </c>
      <c r="F5" s="26" t="s">
        <v>99</v>
      </c>
      <c r="G5" s="37"/>
      <c r="H5" s="16"/>
      <c r="I5" s="79"/>
    </row>
    <row r="6" spans="2:12" x14ac:dyDescent="0.25">
      <c r="B6" s="15"/>
      <c r="C6" s="16"/>
      <c r="D6" s="16"/>
      <c r="E6" s="23"/>
      <c r="F6" s="38" t="s">
        <v>100</v>
      </c>
      <c r="G6" s="16"/>
      <c r="H6" s="16"/>
      <c r="I6" s="80"/>
    </row>
    <row r="7" spans="2:12" x14ac:dyDescent="0.25">
      <c r="B7" s="17"/>
      <c r="C7" s="18"/>
      <c r="D7" s="18"/>
      <c r="E7" s="39"/>
      <c r="F7" s="40"/>
      <c r="G7" s="41"/>
      <c r="H7" s="41"/>
      <c r="I7" s="81"/>
    </row>
    <row r="8" spans="2:12" ht="7.8" customHeight="1" x14ac:dyDescent="0.25">
      <c r="B8" s="19"/>
      <c r="C8" s="19"/>
      <c r="D8" s="19"/>
      <c r="E8" s="42"/>
      <c r="F8" s="43"/>
      <c r="G8" s="44"/>
      <c r="H8" s="44"/>
      <c r="I8" s="43"/>
    </row>
    <row r="9" spans="2:12" ht="14.4" customHeight="1" x14ac:dyDescent="0.25">
      <c r="B9" s="20" t="s">
        <v>101</v>
      </c>
      <c r="C9" s="10" t="s">
        <v>13</v>
      </c>
      <c r="D9" s="21"/>
      <c r="E9" s="32"/>
      <c r="F9" s="45" t="s">
        <v>96</v>
      </c>
      <c r="G9" s="46"/>
      <c r="H9" s="46">
        <v>0</v>
      </c>
      <c r="I9" s="82" t="s">
        <v>102</v>
      </c>
    </row>
    <row r="10" spans="2:12" ht="14.4" customHeight="1" x14ac:dyDescent="0.25">
      <c r="B10" s="22"/>
      <c r="C10" s="23"/>
      <c r="D10" s="24"/>
      <c r="E10" s="47"/>
      <c r="F10" s="38" t="s">
        <v>97</v>
      </c>
      <c r="G10" s="16"/>
      <c r="H10" s="16">
        <v>0</v>
      </c>
      <c r="I10" s="80"/>
    </row>
    <row r="11" spans="2:12" ht="14.4" customHeight="1" x14ac:dyDescent="0.25">
      <c r="B11" s="22"/>
      <c r="C11" s="23"/>
      <c r="D11" s="24"/>
      <c r="E11" s="47"/>
      <c r="F11" s="48" t="s">
        <v>103</v>
      </c>
      <c r="G11" s="49">
        <v>180</v>
      </c>
      <c r="H11" s="16"/>
      <c r="I11" s="83" t="s">
        <v>104</v>
      </c>
    </row>
    <row r="12" spans="2:12" ht="57.6" x14ac:dyDescent="0.25">
      <c r="B12" s="22"/>
      <c r="C12" s="24"/>
      <c r="D12" s="24"/>
      <c r="E12" s="23"/>
      <c r="F12" s="50" t="s">
        <v>105</v>
      </c>
      <c r="G12" s="51"/>
      <c r="H12" s="16"/>
      <c r="I12" s="84" t="s">
        <v>106</v>
      </c>
    </row>
    <row r="13" spans="2:12" x14ac:dyDescent="0.25">
      <c r="B13" s="22"/>
      <c r="C13" s="24"/>
      <c r="D13" s="24"/>
      <c r="E13" s="23"/>
      <c r="F13" s="52" t="s">
        <v>107</v>
      </c>
      <c r="G13" s="53">
        <v>0</v>
      </c>
      <c r="H13" s="16"/>
      <c r="I13" s="80"/>
    </row>
    <row r="14" spans="2:12" ht="72" x14ac:dyDescent="0.25">
      <c r="B14" s="22"/>
      <c r="C14" s="24"/>
      <c r="D14" s="24"/>
      <c r="E14" s="23"/>
      <c r="F14" s="52" t="s">
        <v>108</v>
      </c>
      <c r="G14" s="53">
        <v>0</v>
      </c>
      <c r="H14" s="16"/>
      <c r="I14" s="80"/>
    </row>
    <row r="15" spans="2:12" x14ac:dyDescent="0.25">
      <c r="B15" s="22"/>
      <c r="C15" s="24"/>
      <c r="D15" s="24"/>
      <c r="E15" s="23"/>
      <c r="F15" s="54" t="s">
        <v>109</v>
      </c>
      <c r="G15" s="55">
        <v>0</v>
      </c>
      <c r="H15" s="16"/>
      <c r="I15" s="80"/>
    </row>
    <row r="16" spans="2:12" ht="57.6" x14ac:dyDescent="0.25">
      <c r="B16" s="22"/>
      <c r="C16" s="24"/>
      <c r="D16" s="24"/>
      <c r="E16" s="23"/>
      <c r="F16" s="52" t="s">
        <v>110</v>
      </c>
      <c r="G16" s="53">
        <v>0</v>
      </c>
      <c r="H16" s="16"/>
      <c r="I16" s="85"/>
    </row>
    <row r="17" spans="2:9" x14ac:dyDescent="0.25">
      <c r="B17" s="17"/>
      <c r="C17" s="18"/>
      <c r="D17" s="18"/>
      <c r="E17" s="39"/>
      <c r="F17" s="56" t="s">
        <v>100</v>
      </c>
      <c r="G17" s="57"/>
      <c r="H17" s="41"/>
      <c r="I17" s="81" t="s">
        <v>111</v>
      </c>
    </row>
    <row r="18" spans="2:9" ht="7.8" customHeight="1" x14ac:dyDescent="0.25">
      <c r="B18" s="19"/>
      <c r="C18" s="19"/>
      <c r="D18" s="19"/>
      <c r="E18" s="42"/>
      <c r="F18" s="43"/>
      <c r="G18" s="44"/>
      <c r="H18" s="44"/>
      <c r="I18" s="43"/>
    </row>
    <row r="19" spans="2:9" ht="43.2" x14ac:dyDescent="0.25">
      <c r="B19" s="24" t="s">
        <v>112</v>
      </c>
      <c r="C19" s="23" t="s">
        <v>23</v>
      </c>
      <c r="D19" s="24"/>
      <c r="E19" s="58"/>
      <c r="F19" s="33" t="s">
        <v>96</v>
      </c>
      <c r="G19" s="34"/>
      <c r="H19" s="16"/>
      <c r="I19" s="86" t="s">
        <v>113</v>
      </c>
    </row>
    <row r="20" spans="2:9" x14ac:dyDescent="0.25">
      <c r="B20" s="24"/>
      <c r="C20" s="23"/>
      <c r="D20" s="24"/>
      <c r="E20" s="47"/>
      <c r="F20" s="26" t="s">
        <v>97</v>
      </c>
      <c r="G20" s="59">
        <v>2500</v>
      </c>
      <c r="H20" s="16">
        <f>G20</f>
        <v>2500</v>
      </c>
      <c r="I20" s="87"/>
    </row>
    <row r="21" spans="2:9" ht="43.2" customHeight="1" x14ac:dyDescent="0.25">
      <c r="B21" s="24"/>
      <c r="C21" s="24"/>
      <c r="D21" s="24"/>
      <c r="E21" s="60" t="s">
        <v>114</v>
      </c>
      <c r="F21" s="26" t="s">
        <v>115</v>
      </c>
      <c r="G21" s="16">
        <f>(950+500+600)</f>
        <v>2050</v>
      </c>
      <c r="H21" s="16"/>
      <c r="I21" s="88" t="s">
        <v>116</v>
      </c>
    </row>
    <row r="22" spans="2:9" ht="57.6" x14ac:dyDescent="0.25">
      <c r="B22" s="24"/>
      <c r="C22" s="24"/>
      <c r="D22" s="24"/>
      <c r="E22" s="23"/>
      <c r="F22" s="50" t="s">
        <v>105</v>
      </c>
      <c r="G22" s="51"/>
      <c r="H22" s="16"/>
      <c r="I22" s="88" t="s">
        <v>117</v>
      </c>
    </row>
    <row r="23" spans="2:9" x14ac:dyDescent="0.25">
      <c r="B23" s="24"/>
      <c r="C23" s="23"/>
      <c r="D23" s="24"/>
      <c r="E23" s="47"/>
      <c r="F23" s="52" t="s">
        <v>118</v>
      </c>
      <c r="G23" s="34">
        <v>1500</v>
      </c>
      <c r="H23" s="16"/>
      <c r="I23" s="38" t="s">
        <v>119</v>
      </c>
    </row>
    <row r="24" spans="2:9" x14ac:dyDescent="0.25">
      <c r="B24" s="24"/>
      <c r="C24" s="24"/>
      <c r="D24" s="24"/>
      <c r="E24" s="23"/>
      <c r="F24" s="54" t="s">
        <v>120</v>
      </c>
      <c r="G24" s="55">
        <v>1900</v>
      </c>
      <c r="H24" s="16"/>
      <c r="I24" s="38" t="s">
        <v>121</v>
      </c>
    </row>
    <row r="25" spans="2:9" x14ac:dyDescent="0.25">
      <c r="B25" s="24"/>
      <c r="C25" s="24"/>
      <c r="D25" s="24"/>
      <c r="E25" s="23"/>
      <c r="F25" s="54" t="s">
        <v>122</v>
      </c>
      <c r="G25" s="55">
        <v>1800</v>
      </c>
      <c r="H25" s="16"/>
      <c r="I25" s="38" t="s">
        <v>123</v>
      </c>
    </row>
    <row r="26" spans="2:9" ht="16.8" customHeight="1" x14ac:dyDescent="0.25">
      <c r="B26" s="24"/>
      <c r="C26" s="24"/>
      <c r="D26" s="24"/>
      <c r="E26" s="23"/>
      <c r="F26" s="52" t="s">
        <v>124</v>
      </c>
      <c r="G26" s="53">
        <v>0</v>
      </c>
      <c r="H26" s="16"/>
      <c r="I26" s="38"/>
    </row>
    <row r="27" spans="2:9" x14ac:dyDescent="0.25">
      <c r="B27" s="24"/>
      <c r="C27" s="24"/>
      <c r="D27" s="24"/>
      <c r="E27" s="23"/>
      <c r="F27" s="54" t="s">
        <v>125</v>
      </c>
      <c r="G27" s="55">
        <v>0</v>
      </c>
      <c r="H27" s="16"/>
      <c r="I27" s="87" t="s">
        <v>126</v>
      </c>
    </row>
    <row r="28" spans="2:9" x14ac:dyDescent="0.25">
      <c r="B28" s="24"/>
      <c r="C28" s="24"/>
      <c r="D28" s="24"/>
      <c r="E28" s="23"/>
      <c r="F28" s="61" t="s">
        <v>100</v>
      </c>
      <c r="G28" s="62"/>
      <c r="H28" s="16"/>
      <c r="I28" s="38"/>
    </row>
    <row r="29" spans="2:9" ht="7.8" customHeight="1" x14ac:dyDescent="0.25">
      <c r="B29" s="19"/>
      <c r="C29" s="19"/>
      <c r="D29" s="19"/>
      <c r="E29" s="42"/>
      <c r="F29" s="43"/>
      <c r="G29" s="44"/>
      <c r="H29" s="44"/>
      <c r="I29" s="43"/>
    </row>
    <row r="30" spans="2:9" x14ac:dyDescent="0.25">
      <c r="B30" s="20" t="s">
        <v>127</v>
      </c>
      <c r="C30" s="21" t="s">
        <v>38</v>
      </c>
      <c r="D30" s="21"/>
      <c r="E30" s="63"/>
      <c r="F30" s="64" t="s">
        <v>96</v>
      </c>
      <c r="G30" s="65"/>
      <c r="H30" s="65"/>
      <c r="I30" s="89"/>
    </row>
    <row r="31" spans="2:9" x14ac:dyDescent="0.25">
      <c r="B31" s="22"/>
      <c r="C31" s="24"/>
      <c r="D31" s="24"/>
      <c r="E31" s="60"/>
      <c r="F31" s="38" t="s">
        <v>97</v>
      </c>
      <c r="G31" s="16">
        <v>2500</v>
      </c>
      <c r="H31" s="16">
        <v>2500</v>
      </c>
      <c r="I31" s="80"/>
    </row>
    <row r="32" spans="2:9" ht="43.2" customHeight="1" x14ac:dyDescent="0.25">
      <c r="B32" s="22"/>
      <c r="C32" s="24"/>
      <c r="D32" s="24"/>
      <c r="E32" s="213" t="s">
        <v>128</v>
      </c>
      <c r="F32" s="38" t="s">
        <v>129</v>
      </c>
      <c r="G32" s="23">
        <v>25300</v>
      </c>
      <c r="H32" s="23"/>
      <c r="I32" s="90" t="s">
        <v>130</v>
      </c>
    </row>
    <row r="33" spans="2:10" ht="41.4" customHeight="1" x14ac:dyDescent="0.25">
      <c r="B33" s="22"/>
      <c r="C33" s="24"/>
      <c r="D33" s="24"/>
      <c r="E33" s="214"/>
      <c r="F33" s="38" t="s">
        <v>131</v>
      </c>
      <c r="G33" s="16">
        <v>1500</v>
      </c>
      <c r="H33" s="16"/>
      <c r="I33" s="91" t="s">
        <v>132</v>
      </c>
    </row>
    <row r="34" spans="2:10" x14ac:dyDescent="0.25">
      <c r="B34" s="22"/>
      <c r="C34" s="24"/>
      <c r="D34" s="24"/>
      <c r="E34" s="23"/>
      <c r="F34" s="50" t="s">
        <v>105</v>
      </c>
      <c r="G34" s="51"/>
      <c r="H34" s="16"/>
      <c r="I34" s="80" t="s">
        <v>133</v>
      </c>
    </row>
    <row r="35" spans="2:10" ht="115.2" x14ac:dyDescent="0.25">
      <c r="B35" s="22"/>
      <c r="C35" s="24"/>
      <c r="D35" s="24"/>
      <c r="E35" s="213" t="s">
        <v>134</v>
      </c>
      <c r="F35" s="38" t="s">
        <v>135</v>
      </c>
      <c r="G35" s="16"/>
      <c r="H35" s="16"/>
      <c r="I35" s="92" t="s">
        <v>136</v>
      </c>
    </row>
    <row r="36" spans="2:10" ht="100.8" x14ac:dyDescent="0.25">
      <c r="B36" s="22"/>
      <c r="C36" s="24"/>
      <c r="D36" s="24"/>
      <c r="E36" s="214"/>
      <c r="F36" s="26" t="s">
        <v>137</v>
      </c>
      <c r="G36" s="16">
        <v>1100</v>
      </c>
      <c r="H36" s="16"/>
      <c r="I36" s="85" t="s">
        <v>138</v>
      </c>
    </row>
    <row r="37" spans="2:10" x14ac:dyDescent="0.25">
      <c r="B37" s="22"/>
      <c r="C37" s="24"/>
      <c r="D37" s="24"/>
      <c r="E37" s="60"/>
      <c r="F37" s="38" t="s">
        <v>139</v>
      </c>
      <c r="G37" s="16">
        <v>90</v>
      </c>
      <c r="H37" s="16"/>
      <c r="I37" s="83" t="s">
        <v>104</v>
      </c>
    </row>
    <row r="38" spans="2:10" s="1" customFormat="1" ht="46.2" customHeight="1" x14ac:dyDescent="0.3">
      <c r="B38" s="25"/>
      <c r="C38" s="26"/>
      <c r="D38" s="26"/>
      <c r="E38" s="66"/>
      <c r="F38" s="67" t="s">
        <v>140</v>
      </c>
      <c r="G38" s="60">
        <f>(2000+1800+1000)</f>
        <v>4800</v>
      </c>
      <c r="H38" s="60"/>
      <c r="I38" s="92" t="s">
        <v>141</v>
      </c>
    </row>
    <row r="39" spans="2:10" s="1" customFormat="1" ht="16.8" customHeight="1" x14ac:dyDescent="0.3">
      <c r="B39" s="27"/>
      <c r="C39" s="28"/>
      <c r="D39" s="28"/>
      <c r="E39" s="68"/>
      <c r="F39" s="69" t="s">
        <v>142</v>
      </c>
      <c r="G39" s="70">
        <f>1100+1100+1400+2600</f>
        <v>6200</v>
      </c>
      <c r="H39" s="70"/>
      <c r="I39" s="93" t="s">
        <v>143</v>
      </c>
    </row>
    <row r="40" spans="2:10" ht="7.8" customHeight="1" x14ac:dyDescent="0.25">
      <c r="B40" s="19"/>
      <c r="C40" s="19"/>
      <c r="D40" s="19"/>
      <c r="E40" s="42"/>
      <c r="F40" s="43"/>
      <c r="G40" s="44"/>
      <c r="H40" s="44"/>
      <c r="I40" s="43"/>
    </row>
    <row r="41" spans="2:10" x14ac:dyDescent="0.25">
      <c r="B41" s="20" t="s">
        <v>144</v>
      </c>
      <c r="C41" s="21" t="s">
        <v>52</v>
      </c>
      <c r="D41" s="21"/>
      <c r="E41" s="10"/>
      <c r="F41" s="64" t="s">
        <v>96</v>
      </c>
      <c r="G41" s="65"/>
      <c r="H41" s="65"/>
      <c r="I41" s="89"/>
    </row>
    <row r="42" spans="2:10" x14ac:dyDescent="0.25">
      <c r="B42" s="22"/>
      <c r="C42" s="24"/>
      <c r="D42" s="24"/>
      <c r="E42" s="23"/>
      <c r="F42" s="38" t="s">
        <v>97</v>
      </c>
      <c r="G42" s="16">
        <v>2500</v>
      </c>
      <c r="H42" s="16">
        <f>G42</f>
        <v>2500</v>
      </c>
      <c r="I42" s="80"/>
    </row>
    <row r="43" spans="2:10" x14ac:dyDescent="0.25">
      <c r="B43" s="22"/>
      <c r="C43" s="24"/>
      <c r="D43" s="24"/>
      <c r="E43" s="23"/>
      <c r="F43" s="38" t="s">
        <v>145</v>
      </c>
      <c r="G43" s="16">
        <v>1400</v>
      </c>
      <c r="H43" s="16"/>
      <c r="I43" s="80" t="s">
        <v>146</v>
      </c>
    </row>
    <row r="44" spans="2:10" ht="57.6" x14ac:dyDescent="0.25">
      <c r="B44" s="22"/>
      <c r="C44" s="24"/>
      <c r="D44" s="24"/>
      <c r="E44" s="23"/>
      <c r="F44" s="26" t="s">
        <v>147</v>
      </c>
      <c r="G44" s="37"/>
      <c r="H44" s="16"/>
      <c r="I44" s="80"/>
    </row>
    <row r="45" spans="2:10" x14ac:dyDescent="0.25">
      <c r="B45" s="22"/>
      <c r="C45" s="24"/>
      <c r="D45" s="24"/>
      <c r="E45" s="23"/>
      <c r="F45" s="50" t="s">
        <v>105</v>
      </c>
      <c r="G45" s="51"/>
      <c r="H45" s="16"/>
      <c r="I45" s="80"/>
    </row>
    <row r="46" spans="2:10" x14ac:dyDescent="0.25">
      <c r="B46" s="22"/>
      <c r="C46" s="24"/>
      <c r="D46" s="24"/>
      <c r="E46" s="24"/>
      <c r="F46" s="38" t="s">
        <v>148</v>
      </c>
      <c r="G46" s="16">
        <v>0</v>
      </c>
      <c r="H46" s="16"/>
      <c r="I46" s="94"/>
      <c r="J46" s="4"/>
    </row>
    <row r="47" spans="2:10" x14ac:dyDescent="0.25">
      <c r="B47" s="22"/>
      <c r="C47" s="24"/>
      <c r="D47" s="24"/>
      <c r="E47" s="24"/>
      <c r="F47" s="38" t="s">
        <v>149</v>
      </c>
      <c r="G47" s="16">
        <v>0</v>
      </c>
      <c r="H47" s="16"/>
      <c r="I47" s="95" t="s">
        <v>150</v>
      </c>
      <c r="J47" s="4"/>
    </row>
    <row r="48" spans="2:10" ht="28.8" x14ac:dyDescent="0.25">
      <c r="B48" s="22"/>
      <c r="C48" s="24"/>
      <c r="D48" s="24"/>
      <c r="E48" s="23"/>
      <c r="F48" s="38" t="s">
        <v>151</v>
      </c>
      <c r="G48" s="16">
        <v>4500</v>
      </c>
      <c r="H48" s="16"/>
      <c r="I48" s="85" t="s">
        <v>152</v>
      </c>
      <c r="J48" s="4"/>
    </row>
    <row r="49" spans="2:9" x14ac:dyDescent="0.25">
      <c r="B49" s="17"/>
      <c r="C49" s="18"/>
      <c r="D49" s="18"/>
      <c r="E49" s="39"/>
      <c r="F49" s="71" t="s">
        <v>100</v>
      </c>
      <c r="G49" s="72"/>
      <c r="H49" s="41"/>
      <c r="I49" s="81" t="s">
        <v>153</v>
      </c>
    </row>
    <row r="50" spans="2:9" ht="7.8" customHeight="1" x14ac:dyDescent="0.25">
      <c r="B50" s="19"/>
      <c r="C50" s="19"/>
      <c r="D50" s="19"/>
      <c r="E50" s="42"/>
      <c r="F50" s="43"/>
      <c r="G50" s="44"/>
      <c r="H50" s="44"/>
      <c r="I50" s="43"/>
    </row>
    <row r="51" spans="2:9" x14ac:dyDescent="0.25">
      <c r="B51" s="20" t="s">
        <v>154</v>
      </c>
      <c r="C51" s="21" t="s">
        <v>61</v>
      </c>
      <c r="D51" s="21"/>
      <c r="E51" s="10"/>
      <c r="F51" s="64" t="s">
        <v>96</v>
      </c>
      <c r="G51" s="65"/>
      <c r="H51" s="65"/>
      <c r="I51" s="89"/>
    </row>
    <row r="52" spans="2:9" x14ac:dyDescent="0.25">
      <c r="B52" s="22"/>
      <c r="C52" s="24"/>
      <c r="D52" s="24"/>
      <c r="E52" s="23"/>
      <c r="F52" s="38" t="s">
        <v>97</v>
      </c>
      <c r="G52" s="16">
        <v>2500</v>
      </c>
      <c r="H52" s="16">
        <f>G52</f>
        <v>2500</v>
      </c>
      <c r="I52" s="80"/>
    </row>
    <row r="53" spans="2:9" x14ac:dyDescent="0.25">
      <c r="B53" s="22"/>
      <c r="C53" s="24"/>
      <c r="D53" s="24"/>
      <c r="E53" s="23"/>
      <c r="F53" s="38" t="s">
        <v>155</v>
      </c>
      <c r="G53" s="16">
        <v>1400</v>
      </c>
      <c r="H53" s="16"/>
      <c r="I53" s="80" t="s">
        <v>156</v>
      </c>
    </row>
    <row r="54" spans="2:9" ht="46.2" customHeight="1" x14ac:dyDescent="0.25">
      <c r="B54" s="22"/>
      <c r="C54" s="24"/>
      <c r="D54" s="24"/>
      <c r="E54" s="23"/>
      <c r="F54" s="26" t="s">
        <v>157</v>
      </c>
      <c r="G54" s="37"/>
      <c r="H54" s="16"/>
      <c r="I54" s="80"/>
    </row>
    <row r="55" spans="2:9" x14ac:dyDescent="0.25">
      <c r="B55" s="22"/>
      <c r="C55" s="24"/>
      <c r="D55" s="24"/>
      <c r="E55" s="23"/>
      <c r="F55" s="50" t="s">
        <v>105</v>
      </c>
      <c r="G55" s="51"/>
      <c r="H55" s="16"/>
      <c r="I55" s="80" t="s">
        <v>158</v>
      </c>
    </row>
    <row r="56" spans="2:9" x14ac:dyDescent="0.25">
      <c r="B56" s="22"/>
      <c r="C56" s="24"/>
      <c r="D56" s="24"/>
      <c r="E56" s="23"/>
      <c r="F56" s="38" t="s">
        <v>159</v>
      </c>
      <c r="G56" s="16">
        <v>300</v>
      </c>
      <c r="H56" s="16"/>
      <c r="I56" s="80" t="s">
        <v>146</v>
      </c>
    </row>
    <row r="57" spans="2:9" ht="31.2" customHeight="1" x14ac:dyDescent="0.25">
      <c r="B57" s="22"/>
      <c r="C57" s="24"/>
      <c r="D57" s="24"/>
      <c r="E57" s="23"/>
      <c r="F57" s="26" t="s">
        <v>160</v>
      </c>
      <c r="G57" s="37">
        <v>1000</v>
      </c>
      <c r="H57" s="16"/>
      <c r="I57" s="80"/>
    </row>
    <row r="58" spans="2:9" x14ac:dyDescent="0.25">
      <c r="B58" s="22"/>
      <c r="C58" s="24"/>
      <c r="D58" s="24"/>
      <c r="E58" s="23"/>
      <c r="F58" s="38" t="s">
        <v>161</v>
      </c>
      <c r="G58" s="16"/>
      <c r="H58" s="16"/>
      <c r="I58" s="85"/>
    </row>
    <row r="59" spans="2:9" x14ac:dyDescent="0.25">
      <c r="B59" s="22"/>
      <c r="C59" s="24"/>
      <c r="D59" s="24"/>
      <c r="E59" s="23"/>
      <c r="F59" s="38" t="s">
        <v>162</v>
      </c>
      <c r="G59" s="16">
        <v>3800</v>
      </c>
      <c r="H59" s="16"/>
      <c r="I59" s="85"/>
    </row>
    <row r="60" spans="2:9" x14ac:dyDescent="0.25">
      <c r="B60" s="17"/>
      <c r="C60" s="18"/>
      <c r="D60" s="18"/>
      <c r="E60" s="39"/>
      <c r="F60" s="56" t="s">
        <v>100</v>
      </c>
      <c r="G60" s="57"/>
      <c r="H60" s="41"/>
      <c r="I60" s="81" t="s">
        <v>163</v>
      </c>
    </row>
    <row r="61" spans="2:9" ht="7.8" customHeight="1" x14ac:dyDescent="0.25">
      <c r="B61" s="19"/>
      <c r="C61" s="19"/>
      <c r="D61" s="19"/>
      <c r="E61" s="42"/>
      <c r="F61" s="43"/>
      <c r="G61" s="44"/>
      <c r="H61" s="44"/>
      <c r="I61" s="43"/>
    </row>
    <row r="62" spans="2:9" x14ac:dyDescent="0.25">
      <c r="B62" s="20" t="s">
        <v>164</v>
      </c>
      <c r="C62" s="21" t="s">
        <v>70</v>
      </c>
      <c r="D62" s="21"/>
      <c r="E62" s="10"/>
      <c r="F62" s="64" t="s">
        <v>96</v>
      </c>
      <c r="G62" s="65"/>
      <c r="H62" s="65"/>
      <c r="I62" s="89"/>
    </row>
    <row r="63" spans="2:9" x14ac:dyDescent="0.25">
      <c r="B63" s="29"/>
      <c r="C63" s="30"/>
      <c r="D63" s="30"/>
      <c r="E63" s="13"/>
      <c r="F63" s="38" t="s">
        <v>97</v>
      </c>
      <c r="G63" s="16">
        <v>2500</v>
      </c>
      <c r="H63" s="16">
        <f>G63</f>
        <v>2500</v>
      </c>
      <c r="I63" s="80"/>
    </row>
    <row r="64" spans="2:9" x14ac:dyDescent="0.25">
      <c r="B64" s="29"/>
      <c r="C64" s="30"/>
      <c r="D64" s="30"/>
      <c r="E64" s="13"/>
      <c r="F64" s="73" t="s">
        <v>165</v>
      </c>
      <c r="G64" s="74">
        <v>0</v>
      </c>
      <c r="H64" s="74"/>
      <c r="I64" s="96"/>
    </row>
    <row r="65" spans="2:9" x14ac:dyDescent="0.25">
      <c r="B65" s="29"/>
      <c r="C65" s="30"/>
      <c r="D65" s="30"/>
      <c r="E65" s="13"/>
      <c r="F65" s="73" t="s">
        <v>166</v>
      </c>
      <c r="G65" s="74"/>
      <c r="H65" s="74"/>
      <c r="I65" s="96"/>
    </row>
    <row r="66" spans="2:9" x14ac:dyDescent="0.25">
      <c r="B66" s="29"/>
      <c r="C66" s="30"/>
      <c r="D66" s="30"/>
      <c r="E66" s="13"/>
      <c r="F66" s="73" t="s">
        <v>167</v>
      </c>
      <c r="G66" s="74">
        <v>490</v>
      </c>
      <c r="H66" s="74"/>
      <c r="I66" s="96" t="s">
        <v>168</v>
      </c>
    </row>
    <row r="67" spans="2:9" ht="43.2" x14ac:dyDescent="0.25">
      <c r="B67" s="29"/>
      <c r="C67" s="30"/>
      <c r="D67" s="30"/>
      <c r="E67" s="13"/>
      <c r="F67" s="73" t="s">
        <v>169</v>
      </c>
      <c r="G67" s="74">
        <v>1450</v>
      </c>
      <c r="H67" s="74"/>
      <c r="I67" s="99" t="s">
        <v>170</v>
      </c>
    </row>
    <row r="68" spans="2:9" x14ac:dyDescent="0.25">
      <c r="B68" s="29"/>
      <c r="C68" s="30"/>
      <c r="D68" s="30"/>
      <c r="E68" s="13"/>
      <c r="F68" s="73" t="s">
        <v>171</v>
      </c>
      <c r="G68" s="74">
        <v>0</v>
      </c>
      <c r="H68" s="74"/>
      <c r="I68" s="96"/>
    </row>
    <row r="69" spans="2:9" x14ac:dyDescent="0.25">
      <c r="B69" s="29"/>
      <c r="C69" s="30"/>
      <c r="D69" s="30"/>
      <c r="E69" s="13"/>
      <c r="F69" s="73" t="s">
        <v>172</v>
      </c>
      <c r="G69" s="74">
        <v>0</v>
      </c>
      <c r="H69" s="74"/>
      <c r="I69" s="96"/>
    </row>
    <row r="70" spans="2:9" x14ac:dyDescent="0.25">
      <c r="B70" s="22"/>
      <c r="C70" s="24"/>
      <c r="D70" s="24"/>
      <c r="E70" s="23"/>
      <c r="F70" s="50" t="s">
        <v>105</v>
      </c>
      <c r="G70" s="51"/>
      <c r="H70" s="16"/>
      <c r="I70" s="80"/>
    </row>
    <row r="71" spans="2:9" ht="43.2" x14ac:dyDescent="0.25">
      <c r="B71" s="22"/>
      <c r="C71" s="24"/>
      <c r="D71" s="24"/>
      <c r="E71" s="23"/>
      <c r="F71" s="97" t="s">
        <v>173</v>
      </c>
      <c r="G71" s="98">
        <v>4000</v>
      </c>
      <c r="H71" s="98"/>
      <c r="I71" s="100" t="s">
        <v>174</v>
      </c>
    </row>
    <row r="72" spans="2:9" x14ac:dyDescent="0.25">
      <c r="B72" s="22"/>
      <c r="C72" s="24"/>
      <c r="D72" s="24"/>
      <c r="E72" s="23"/>
      <c r="F72" s="26" t="s">
        <v>175</v>
      </c>
      <c r="G72" s="37">
        <v>0</v>
      </c>
      <c r="H72" s="16"/>
      <c r="I72" s="80"/>
    </row>
    <row r="73" spans="2:9" x14ac:dyDescent="0.25">
      <c r="B73" s="22"/>
      <c r="C73" s="24"/>
      <c r="D73" s="24"/>
      <c r="E73" s="23"/>
      <c r="F73" s="26" t="s">
        <v>176</v>
      </c>
      <c r="G73" s="37">
        <v>0</v>
      </c>
      <c r="H73" s="16"/>
      <c r="I73" s="80"/>
    </row>
    <row r="74" spans="2:9" x14ac:dyDescent="0.25">
      <c r="B74" s="17"/>
      <c r="C74" s="18"/>
      <c r="D74" s="18"/>
      <c r="E74" s="39"/>
      <c r="F74" s="56" t="s">
        <v>100</v>
      </c>
      <c r="G74" s="57"/>
      <c r="H74" s="41"/>
      <c r="I74" s="81"/>
    </row>
    <row r="75" spans="2:9" ht="7.8" customHeight="1" x14ac:dyDescent="0.25">
      <c r="B75" s="19"/>
      <c r="C75" s="19"/>
      <c r="D75" s="19"/>
      <c r="E75" s="42"/>
      <c r="F75" s="43"/>
      <c r="G75" s="44"/>
      <c r="H75" s="44"/>
      <c r="I75" s="43"/>
    </row>
    <row r="76" spans="2:9" ht="86.4" x14ac:dyDescent="0.25">
      <c r="B76" s="20" t="s">
        <v>177</v>
      </c>
      <c r="C76" s="21" t="s">
        <v>178</v>
      </c>
      <c r="D76" s="21"/>
      <c r="E76" s="10"/>
      <c r="F76" s="64" t="s">
        <v>96</v>
      </c>
      <c r="G76" s="65"/>
      <c r="H76" s="65"/>
      <c r="I76" s="101" t="s">
        <v>179</v>
      </c>
    </row>
    <row r="77" spans="2:9" x14ac:dyDescent="0.25">
      <c r="B77" s="22"/>
      <c r="C77" s="24"/>
      <c r="D77" s="24"/>
      <c r="E77" s="23"/>
      <c r="F77" s="38" t="s">
        <v>97</v>
      </c>
      <c r="G77" s="16">
        <v>2500</v>
      </c>
      <c r="H77" s="16">
        <f>G77</f>
        <v>2500</v>
      </c>
      <c r="I77" s="80"/>
    </row>
    <row r="78" spans="2:9" x14ac:dyDescent="0.25">
      <c r="B78" s="22"/>
      <c r="C78" s="24"/>
      <c r="D78" s="24"/>
      <c r="E78" s="23"/>
      <c r="F78" s="38" t="s">
        <v>180</v>
      </c>
      <c r="G78" s="16">
        <v>0</v>
      </c>
      <c r="H78" s="16"/>
      <c r="I78" s="80"/>
    </row>
    <row r="79" spans="2:9" x14ac:dyDescent="0.25">
      <c r="B79" s="22"/>
      <c r="C79" s="24"/>
      <c r="D79" s="24"/>
      <c r="E79" s="23"/>
      <c r="F79" s="26" t="s">
        <v>181</v>
      </c>
      <c r="G79" s="37"/>
      <c r="H79" s="16"/>
      <c r="I79" s="80"/>
    </row>
    <row r="80" spans="2:9" x14ac:dyDescent="0.25">
      <c r="B80" s="22"/>
      <c r="C80" s="24"/>
      <c r="D80" s="24"/>
      <c r="E80" s="23"/>
      <c r="F80" s="26" t="s">
        <v>182</v>
      </c>
      <c r="G80" s="37"/>
      <c r="H80" s="16"/>
      <c r="I80" s="80"/>
    </row>
    <row r="81" spans="2:9" x14ac:dyDescent="0.25">
      <c r="B81" s="22"/>
      <c r="C81" s="24"/>
      <c r="D81" s="24"/>
      <c r="E81" s="23"/>
      <c r="F81" s="50" t="s">
        <v>105</v>
      </c>
      <c r="G81" s="51"/>
      <c r="H81" s="16"/>
      <c r="I81" s="80"/>
    </row>
    <row r="82" spans="2:9" ht="28.8" x14ac:dyDescent="0.25">
      <c r="B82" s="22"/>
      <c r="C82" s="24"/>
      <c r="D82" s="24"/>
      <c r="E82" s="23"/>
      <c r="F82" s="26" t="s">
        <v>183</v>
      </c>
      <c r="G82" s="37"/>
      <c r="H82" s="16"/>
      <c r="I82" s="80"/>
    </row>
    <row r="83" spans="2:9" x14ac:dyDescent="0.25">
      <c r="B83" s="17"/>
      <c r="C83" s="18"/>
      <c r="D83" s="18"/>
      <c r="E83" s="39"/>
      <c r="F83" s="56" t="s">
        <v>100</v>
      </c>
      <c r="G83" s="57"/>
      <c r="H83" s="41"/>
      <c r="I83" s="81"/>
    </row>
    <row r="84" spans="2:9" x14ac:dyDescent="0.25">
      <c r="I84" s="76"/>
    </row>
    <row r="85" spans="2:9" x14ac:dyDescent="0.25">
      <c r="B85" s="20" t="s">
        <v>101</v>
      </c>
      <c r="C85" s="21" t="s">
        <v>184</v>
      </c>
      <c r="D85" s="21"/>
      <c r="E85" s="10"/>
      <c r="F85" s="64" t="s">
        <v>96</v>
      </c>
      <c r="G85" s="65"/>
      <c r="H85" s="65"/>
      <c r="I85" s="89" t="s">
        <v>185</v>
      </c>
    </row>
    <row r="86" spans="2:9" x14ac:dyDescent="0.25">
      <c r="B86" s="22"/>
      <c r="C86" s="24"/>
      <c r="D86" s="24"/>
      <c r="E86" s="23"/>
      <c r="F86" s="38" t="s">
        <v>97</v>
      </c>
      <c r="G86" s="16">
        <v>2500</v>
      </c>
      <c r="H86" s="16">
        <f>G86</f>
        <v>2500</v>
      </c>
      <c r="I86" s="80"/>
    </row>
    <row r="87" spans="2:9" x14ac:dyDescent="0.25">
      <c r="B87" s="22"/>
      <c r="C87" s="24"/>
      <c r="D87" s="24"/>
      <c r="E87" s="23"/>
      <c r="F87" s="26" t="s">
        <v>186</v>
      </c>
      <c r="G87" s="37"/>
      <c r="H87" s="16"/>
      <c r="I87" s="80"/>
    </row>
    <row r="88" spans="2:9" x14ac:dyDescent="0.25">
      <c r="B88" s="22"/>
      <c r="C88" s="24"/>
      <c r="D88" s="24"/>
      <c r="E88" s="23"/>
      <c r="F88" s="26"/>
      <c r="G88" s="37"/>
      <c r="H88" s="16"/>
      <c r="I88" s="80"/>
    </row>
    <row r="89" spans="2:9" x14ac:dyDescent="0.25">
      <c r="B89" s="22"/>
      <c r="C89" s="24"/>
      <c r="D89" s="24"/>
      <c r="E89" s="23"/>
      <c r="F89" s="50"/>
      <c r="G89" s="51"/>
      <c r="H89" s="16"/>
      <c r="I89" s="80"/>
    </row>
    <row r="90" spans="2:9" x14ac:dyDescent="0.25">
      <c r="B90" s="22"/>
      <c r="C90" s="24"/>
      <c r="D90" s="24"/>
      <c r="E90" s="23"/>
      <c r="F90" s="26"/>
      <c r="G90" s="37"/>
      <c r="H90" s="16"/>
      <c r="I90" s="80"/>
    </row>
    <row r="91" spans="2:9" x14ac:dyDescent="0.25">
      <c r="B91" s="22"/>
      <c r="C91" s="24"/>
      <c r="D91" s="24"/>
      <c r="E91" s="23"/>
      <c r="F91" s="38"/>
      <c r="G91" s="16"/>
      <c r="H91" s="16"/>
      <c r="I91" s="80"/>
    </row>
    <row r="92" spans="2:9" x14ac:dyDescent="0.25">
      <c r="B92" s="17"/>
      <c r="C92" s="18"/>
      <c r="D92" s="18"/>
      <c r="E92" s="39"/>
      <c r="F92" s="56"/>
      <c r="G92" s="57"/>
      <c r="H92" s="41"/>
      <c r="I92" s="81"/>
    </row>
    <row r="94" spans="2:9" ht="7.8" customHeight="1" x14ac:dyDescent="0.25">
      <c r="B94" s="19"/>
      <c r="C94" s="19"/>
      <c r="D94" s="19"/>
      <c r="E94" s="42"/>
      <c r="F94" s="43"/>
      <c r="G94" s="44"/>
      <c r="H94" s="44"/>
      <c r="I94" s="43"/>
    </row>
  </sheetData>
  <mergeCells count="2">
    <mergeCell ref="E32:E33"/>
    <mergeCell ref="E35:E3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Китайский</vt:lpstr>
      <vt:lpstr>Русский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Dobrolyubov</dc:creator>
  <cp:lastModifiedBy>Dmitry Dobrolyubov</cp:lastModifiedBy>
  <dcterms:created xsi:type="dcterms:W3CDTF">2026-03-29T06:02:00Z</dcterms:created>
  <dcterms:modified xsi:type="dcterms:W3CDTF">2026-05-02T13:28:06Z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71E624FF2F46AF324402E669B799B1C6_43</vt:lpwstr>
  </property>
</Properties>
</file>