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<sst xmlns="http://schemas.openxmlformats.org/spreadsheetml/2006/main" count="90" uniqueCount="53">
  <si>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запрос  19+1  9+1</t>
  </si>
  <si>
    <t>Кол-во чел:</t>
  </si>
  <si>
    <t xml:space="preserve">отель  4 звезды  </t>
  </si>
  <si>
    <t xml:space="preserve">Автобус  </t>
  </si>
  <si>
    <t>Регистрация</t>
  </si>
  <si>
    <t>безвизовый</t>
  </si>
  <si>
    <t>D1</t>
  </si>
  <si>
    <t>Пекин -Москва</t>
  </si>
  <si>
    <t>Автобус</t>
  </si>
  <si>
    <t>Гид Китайский</t>
  </si>
  <si>
    <t>Китайский  Ужин</t>
  </si>
  <si>
    <t>4 звёзд г-ца</t>
  </si>
  <si>
    <t>D2</t>
  </si>
  <si>
    <t>Москва</t>
  </si>
  <si>
    <t>Автобус 09:00-19:00</t>
  </si>
  <si>
    <t>Русский  Обед</t>
  </si>
  <si>
    <t>D3</t>
  </si>
  <si>
    <t>Горки Ленинские</t>
  </si>
  <si>
    <t xml:space="preserve">НКЦ «Музей В.И. Ленина» </t>
  </si>
  <si>
    <t>Кабинет и квартира В.И. Ленина в Кремле</t>
  </si>
  <si>
    <t xml:space="preserve">Кремль </t>
  </si>
  <si>
    <t>Оружейная палата</t>
  </si>
  <si>
    <t>D4</t>
  </si>
  <si>
    <t xml:space="preserve">Автобус </t>
  </si>
  <si>
    <t>Катание на ТАНК (АРМАТА-ТУР), ВОЕНЫЙ ОБЕД, 10 ПУЛЬТЫ АК ,СБОР АК, МУЗЕЙ,ZIL-131,T14</t>
  </si>
  <si>
    <t>Главный храм Вооружённых сил России</t>
  </si>
  <si>
    <t xml:space="preserve">Площадка №1 </t>
  </si>
  <si>
    <t>Танковый музей (Кубинка)</t>
  </si>
  <si>
    <t>D5</t>
  </si>
  <si>
    <t xml:space="preserve">Третьяковская галерея новый </t>
  </si>
  <si>
    <t>РУССКИЙ гид на Китайском</t>
  </si>
  <si>
    <t>Музей VI сьезда Компартии Китая , https://gdefirmi.ru/msk/573519</t>
  </si>
  <si>
    <t>Перовские бани</t>
  </si>
  <si>
    <t>D6</t>
  </si>
  <si>
    <t xml:space="preserve">Третьяковская галерея </t>
  </si>
  <si>
    <t>Китайский Обед</t>
  </si>
  <si>
    <t xml:space="preserve">Новодевичье кладбище* группа до 20 чел вкл гида </t>
  </si>
  <si>
    <t>Рэдиссон + ужин</t>
  </si>
  <si>
    <t>D7</t>
  </si>
  <si>
    <t>ВДНХ +музей Космонавтики</t>
  </si>
  <si>
    <t>Музей Гаража особого назначения павильон № 53</t>
  </si>
  <si>
    <t>Царицыно (без музей)</t>
  </si>
  <si>
    <t>D8</t>
  </si>
  <si>
    <t>Москва - Тула</t>
  </si>
  <si>
    <t>Русский Обед</t>
  </si>
  <si>
    <t>Русский  Ужин</t>
  </si>
  <si>
    <t>4 звёзд г-ца Амакс</t>
  </si>
  <si>
    <t>Тула-МСК-Пекин 17:00 в аэропорт</t>
  </si>
  <si>
    <t>D9</t>
  </si>
  <si>
    <t>*Новодевичье кладбище</t>
  </si>
  <si>
    <t>Максимально в группе 20 чел!!!</t>
  </si>
  <si>
    <t>Посещение групп только по заявлению и предоставлению пакета документов строго за 4 дня до экскурсии, нужно везти к ним.</t>
  </si>
  <si>
    <t>Гид должен иметь городскую аккредитацию от mos.ru!!!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</si>
</sst>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\ _₽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theme="1"/>
      <name val="宋体"/>
      <charset val="204"/>
      <scheme val="minor"/>
    </font>
    <font>
      <sz val="12"/>
      <color rgb="FFFF0000"/>
      <name val="微软雅黑"/>
      <charset val="134"/>
    </font>
    <font>
      <sz val="12"/>
      <color rgb="FF0070C0"/>
      <name val="微软雅黑"/>
      <charset val="134"/>
    </font>
    <font>
      <sz val="12"/>
      <color rgb="FF00B050"/>
      <name val="微软雅黑"/>
      <charset val="134"/>
    </font>
    <font>
      <b/>
      <sz val="11"/>
      <color rgb="FFFF0000"/>
      <name val="宋体"/>
      <charset val="134"/>
      <scheme val="minor"/>
    </font>
    <font>
      <sz val="12"/>
      <name val="宋体"/>
      <charset val="204"/>
      <scheme val="minor"/>
    </font>
    <font>
      <b/>
      <sz val="12"/>
      <color theme="1"/>
      <name val="宋体"/>
      <charset val="204"/>
      <scheme val="minor"/>
    </font>
    <font>
      <sz val="12"/>
      <color rgb="FFFF0000"/>
      <name val="Calibri"/>
      <charset val="204"/>
    </font>
    <font>
      <sz val="11"/>
      <color rgb="FFFF0000"/>
      <name val="宋体"/>
      <charset val="204"/>
      <scheme val="minor"/>
    </font>
    <font>
      <b/>
      <sz val="14"/>
      <color rgb="FFFF0000"/>
      <name val="宋体"/>
      <charset val="204"/>
      <scheme val="minor"/>
    </font>
    <font>
      <b/>
      <sz val="14"/>
      <color rgb="FFFF0000"/>
      <name val="Calibri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right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wrapText="1"/>
    </xf>
    <xf numFmtId="0" fontId="7" fillId="0" borderId="0" xfId="0" applyFont="1" applyAlignment="1">
      <alignment vertical="center" wrapText="1"/>
    </xf>
    <xf numFmtId="0" fontId="4" fillId="0" borderId="0" xfId="0" applyFont="1" applyBorder="1" applyAlignment="1">
      <alignment wrapText="1"/>
    </xf>
    <xf numFmtId="0" fontId="9" fillId="0" borderId="0" xfId="0" applyFont="1">
      <alignment vertical="center"/>
    </xf>
    <xf numFmtId="0" fontId="5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177" fontId="4" fillId="0" borderId="1" xfId="0" applyNumberFormat="1" applyFont="1" applyBorder="1" applyAlignment="1">
      <alignment horizontal="right"/>
    </xf>
    <xf numFmtId="177" fontId="4" fillId="0" borderId="0" xfId="0" applyNumberFormat="1" applyFont="1" applyBorder="1" applyAlignment="1">
      <alignment horizontal="right"/>
    </xf>
    <xf numFmtId="177" fontId="4" fillId="0" borderId="0" xfId="0" applyNumberFormat="1" applyFont="1" applyBorder="1" applyAlignment="1"/>
    <xf numFmtId="176" fontId="5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Border="1" applyAlignment="1"/>
    <xf numFmtId="177" fontId="10" fillId="0" borderId="0" xfId="0" applyNumberFormat="1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4"/>
  <sheetViews>
    <sheetView tabSelected="1" zoomScale="80" zoomScaleNormal="80" topLeftCell="B34" workbookViewId="0">
      <selection activeCell="F72" sqref="F72"/>
    </sheetView>
  </sheetViews>
  <sheetFormatPr defaultColWidth="9.28333333333333" defaultRowHeight="14.25"/>
  <cols>
    <col min="2" max="2" width="16" style="1" customWidth="1"/>
    <col min="3" max="3" width="67.2833333333333" style="2" customWidth="1"/>
    <col min="4" max="4" width="13.5666666666667" customWidth="1"/>
    <col min="5" max="5" width="14.5666666666667" customWidth="1"/>
    <col min="6" max="6" width="14.2833333333333" customWidth="1"/>
    <col min="7" max="7" width="12.5666666666667" customWidth="1"/>
    <col min="8" max="8" width="11.2833333333333" customWidth="1"/>
    <col min="9" max="9" width="14.2833333333333" customWidth="1"/>
    <col min="10" max="10" width="14.7083333333333" customWidth="1"/>
    <col min="11" max="11" width="14.5666666666667" customWidth="1"/>
    <col min="12" max="12" width="14.2833333333333" customWidth="1"/>
  </cols>
  <sheetData>
    <row r="1" ht="18" spans="2:12">
      <c r="B1" s="3"/>
      <c r="C1" s="4" t="s">
        <v>0</v>
      </c>
      <c r="D1" s="5"/>
      <c r="E1" s="6" t="s">
        <v>1</v>
      </c>
      <c r="F1" s="6">
        <v>19</v>
      </c>
      <c r="G1" s="7"/>
      <c r="H1" s="5"/>
      <c r="I1" s="6" t="s">
        <v>1</v>
      </c>
      <c r="J1" s="6">
        <v>9</v>
      </c>
      <c r="K1" s="8"/>
      <c r="L1" s="8"/>
    </row>
    <row r="2" ht="18" spans="2:12">
      <c r="B2" s="3"/>
      <c r="C2" s="4" t="s">
        <v>2</v>
      </c>
      <c r="D2" s="5"/>
      <c r="G2" s="7"/>
      <c r="H2" s="5"/>
      <c r="K2" s="9"/>
      <c r="L2" s="9"/>
    </row>
    <row r="3" ht="18" spans="2:12">
      <c r="B3" s="3"/>
      <c r="C3" s="10" t="s">
        <v>3</v>
      </c>
      <c r="E3" s="11"/>
      <c r="F3" s="11"/>
      <c r="G3" s="9"/>
      <c r="I3" s="12"/>
      <c r="J3" s="12"/>
      <c r="K3" s="8"/>
      <c r="L3" s="8"/>
    </row>
    <row r="4" ht="17.25" spans="2:12">
      <c r="B4" s="3"/>
      <c r="C4" s="13"/>
      <c r="E4" s="11"/>
      <c r="F4" s="11"/>
      <c r="G4" s="9"/>
      <c r="I4" s="12"/>
      <c r="J4" s="12"/>
      <c r="K4" s="8"/>
      <c r="L4" s="8"/>
    </row>
    <row r="5" ht="17.25" spans="2:12">
      <c r="B5" s="3"/>
      <c r="C5" s="13" t="s">
        <v>4</v>
      </c>
      <c r="E5" s="11">
        <v>350</v>
      </c>
      <c r="F5" s="11">
        <v>350</v>
      </c>
      <c r="G5" s="9"/>
      <c r="I5" s="11">
        <v>350</v>
      </c>
      <c r="J5" s="11">
        <v>350</v>
      </c>
      <c r="K5" s="8"/>
      <c r="L5" s="8"/>
    </row>
    <row r="6" ht="17.25" spans="2:12">
      <c r="B6" s="3"/>
      <c r="C6" s="14" t="s">
        <v>5</v>
      </c>
      <c r="E6" s="11"/>
      <c r="F6" s="11"/>
      <c r="G6" s="9"/>
      <c r="I6" s="11"/>
      <c r="J6" s="11"/>
      <c r="K6" s="8"/>
      <c r="L6" s="8"/>
    </row>
    <row r="7" ht="17.25" spans="2:12">
      <c r="B7" s="3"/>
      <c r="C7" s="14"/>
      <c r="E7" s="11"/>
      <c r="F7" s="11"/>
      <c r="G7" s="9"/>
      <c r="I7" s="11"/>
      <c r="J7" s="11"/>
      <c r="K7" s="8"/>
      <c r="L7" s="8"/>
    </row>
    <row r="8" ht="17.25" spans="2:12">
      <c r="B8" s="3" t="s">
        <v>6</v>
      </c>
      <c r="C8" s="15" t="s">
        <v>7</v>
      </c>
      <c r="D8" s="5"/>
      <c r="E8" s="16"/>
      <c r="F8" s="11"/>
      <c r="G8" s="7"/>
      <c r="H8" s="5"/>
      <c r="I8" s="16"/>
      <c r="J8" s="11"/>
      <c r="K8" s="17"/>
      <c r="L8" s="8"/>
    </row>
    <row r="9" ht="17.25" spans="2:12">
      <c r="B9" s="3"/>
      <c r="C9" s="13" t="s">
        <v>8</v>
      </c>
      <c r="D9" s="6">
        <v>7</v>
      </c>
      <c r="E9" s="11"/>
      <c r="F9" s="11">
        <f>2850*D9</f>
        <v>19950</v>
      </c>
      <c r="G9" s="9"/>
      <c r="H9" s="6">
        <v>7</v>
      </c>
      <c r="I9" s="11"/>
      <c r="J9" s="11">
        <f>2100*H9</f>
        <v>14700</v>
      </c>
      <c r="K9" s="8"/>
      <c r="L9" s="8"/>
    </row>
    <row r="10" ht="17.25" spans="2:12">
      <c r="C10" s="13" t="s">
        <v>9</v>
      </c>
      <c r="E10" s="11"/>
      <c r="F10" s="11">
        <v>10000</v>
      </c>
      <c r="G10" s="9"/>
      <c r="I10" s="11"/>
      <c r="J10" s="11">
        <v>10000</v>
      </c>
      <c r="L10" s="8"/>
    </row>
    <row r="11" ht="17.25" spans="2:12">
      <c r="B11" s="3"/>
      <c r="C11" s="13" t="s">
        <v>10</v>
      </c>
      <c r="E11" s="11">
        <v>1000</v>
      </c>
      <c r="F11" s="11"/>
      <c r="G11" s="9"/>
      <c r="I11" s="11">
        <v>1000</v>
      </c>
      <c r="J11" s="11"/>
      <c r="L11" s="8"/>
    </row>
    <row r="12" ht="17.25" spans="2:12">
      <c r="B12" s="3"/>
      <c r="C12" s="13" t="s">
        <v>11</v>
      </c>
      <c r="E12" s="18">
        <v>2600</v>
      </c>
      <c r="F12" s="18">
        <v>2600</v>
      </c>
      <c r="G12" s="9"/>
      <c r="I12" s="18">
        <v>2600</v>
      </c>
      <c r="J12" s="18">
        <v>2600</v>
      </c>
      <c r="L12" s="19"/>
    </row>
    <row r="13" ht="17.25" spans="2:12">
      <c r="B13" s="3"/>
      <c r="C13" s="13"/>
      <c r="E13" s="11"/>
      <c r="F13" s="11"/>
      <c r="G13" s="9"/>
      <c r="I13" s="11"/>
      <c r="J13" s="11"/>
      <c r="L13" s="8"/>
    </row>
    <row r="14" ht="17.25" spans="2:12">
      <c r="B14" s="3" t="s">
        <v>12</v>
      </c>
      <c r="C14" s="15" t="s">
        <v>13</v>
      </c>
      <c r="E14" s="11"/>
      <c r="F14" s="11"/>
      <c r="G14" s="9"/>
      <c r="I14" s="11"/>
      <c r="J14" s="11"/>
      <c r="L14" s="8"/>
    </row>
    <row r="15" ht="17.25" spans="2:12">
      <c r="B15" s="3"/>
      <c r="C15" s="13" t="s">
        <v>14</v>
      </c>
      <c r="D15" s="6">
        <v>12</v>
      </c>
      <c r="E15" s="11"/>
      <c r="F15" s="11">
        <f>2850*D15</f>
        <v>34200</v>
      </c>
      <c r="G15" s="9"/>
      <c r="H15" s="6">
        <v>12</v>
      </c>
      <c r="I15" s="11"/>
      <c r="J15" s="11">
        <f>2100*H15</f>
        <v>25200</v>
      </c>
      <c r="L15" s="8"/>
    </row>
    <row r="16" ht="17.25" spans="2:12">
      <c r="C16" s="13" t="s">
        <v>9</v>
      </c>
      <c r="E16" s="11"/>
      <c r="F16" s="18">
        <v>25000</v>
      </c>
      <c r="G16" s="9"/>
      <c r="I16" s="11"/>
      <c r="J16" s="18">
        <v>25000</v>
      </c>
      <c r="K16" s="20"/>
      <c r="L16" s="19"/>
    </row>
    <row r="17" ht="17.25" spans="2:12">
      <c r="B17" s="3"/>
      <c r="C17" s="13" t="s">
        <v>15</v>
      </c>
      <c r="E17" s="11">
        <v>1400</v>
      </c>
      <c r="F17" s="18">
        <v>2800</v>
      </c>
      <c r="G17" s="9"/>
      <c r="I17" s="11">
        <v>1400</v>
      </c>
      <c r="J17" s="18">
        <v>2800</v>
      </c>
      <c r="L17" s="19"/>
    </row>
    <row r="18" ht="17.25" spans="2:12">
      <c r="B18" s="3"/>
      <c r="C18" s="13" t="s">
        <v>10</v>
      </c>
      <c r="E18" s="11">
        <v>1000</v>
      </c>
      <c r="F18" s="18"/>
      <c r="G18" s="9"/>
      <c r="I18" s="11">
        <v>1000</v>
      </c>
      <c r="J18" s="18"/>
      <c r="L18" s="19"/>
    </row>
    <row r="19" ht="17.25" spans="2:12">
      <c r="B19" s="3"/>
      <c r="C19" s="13" t="s">
        <v>11</v>
      </c>
      <c r="E19" s="18">
        <v>2600</v>
      </c>
      <c r="F19" s="18">
        <v>2600</v>
      </c>
      <c r="G19" s="9"/>
      <c r="I19" s="18">
        <v>2600</v>
      </c>
      <c r="J19" s="18">
        <v>2600</v>
      </c>
      <c r="K19" s="20"/>
      <c r="L19" s="19"/>
    </row>
    <row r="20" ht="17.25" spans="2:12">
      <c r="B20" s="3"/>
      <c r="C20" s="13"/>
      <c r="E20" s="11"/>
      <c r="F20" s="18"/>
      <c r="G20" s="9"/>
      <c r="I20" s="11"/>
      <c r="J20" s="18"/>
      <c r="K20" s="20"/>
      <c r="L20" s="19"/>
    </row>
    <row r="21" ht="17.25" spans="2:12">
      <c r="B21" s="3" t="s">
        <v>16</v>
      </c>
      <c r="C21" s="15" t="s">
        <v>13</v>
      </c>
      <c r="E21" s="11"/>
      <c r="F21" s="18"/>
      <c r="G21" s="9"/>
      <c r="I21" s="11"/>
      <c r="J21" s="18"/>
      <c r="K21" s="20"/>
      <c r="L21" s="19"/>
    </row>
    <row r="22" ht="17.25" spans="2:12">
      <c r="B22" s="3"/>
      <c r="C22" s="13" t="s">
        <v>14</v>
      </c>
      <c r="D22" s="6">
        <v>13</v>
      </c>
      <c r="E22" s="11"/>
      <c r="F22" s="11">
        <f>2850*D22</f>
        <v>37050</v>
      </c>
      <c r="G22" s="9"/>
      <c r="H22" s="6">
        <v>13</v>
      </c>
      <c r="I22" s="11"/>
      <c r="J22" s="11">
        <f>2100*H22</f>
        <v>27300</v>
      </c>
      <c r="K22" s="20"/>
      <c r="L22" s="19"/>
    </row>
    <row r="23" ht="17.25" spans="2:12">
      <c r="B23" s="3"/>
      <c r="C23" s="13" t="s">
        <v>9</v>
      </c>
      <c r="D23" s="6"/>
      <c r="E23" s="11"/>
      <c r="F23" s="11"/>
      <c r="G23" s="9"/>
      <c r="H23" s="6"/>
      <c r="I23" s="11"/>
      <c r="J23" s="11"/>
      <c r="K23" s="20"/>
      <c r="L23" s="19"/>
    </row>
    <row r="24" ht="17.25" spans="2:12">
      <c r="C24" s="21" t="s">
        <v>17</v>
      </c>
      <c r="D24" s="22"/>
      <c r="E24" s="18"/>
      <c r="F24" s="18"/>
      <c r="G24" s="9"/>
      <c r="H24" s="22"/>
      <c r="I24" s="18"/>
      <c r="J24" s="18"/>
      <c r="K24" s="20"/>
      <c r="L24" s="19"/>
    </row>
    <row r="25" ht="17.25" spans="2:12">
      <c r="C25" s="21" t="s">
        <v>18</v>
      </c>
      <c r="D25" s="22"/>
      <c r="E25" s="18">
        <v>600</v>
      </c>
      <c r="F25" s="18">
        <v>1200</v>
      </c>
      <c r="G25" s="9"/>
      <c r="H25" s="22"/>
      <c r="I25" s="18">
        <v>600</v>
      </c>
      <c r="J25" s="18">
        <v>1200</v>
      </c>
      <c r="K25" s="20"/>
      <c r="L25" s="19"/>
    </row>
    <row r="26" ht="17.25" spans="2:12">
      <c r="C26" s="21" t="s">
        <v>19</v>
      </c>
      <c r="D26" s="22"/>
      <c r="E26" s="18">
        <v>700</v>
      </c>
      <c r="F26" s="18">
        <v>1400</v>
      </c>
      <c r="G26" s="9"/>
      <c r="H26" s="22"/>
      <c r="I26" s="18">
        <v>700</v>
      </c>
      <c r="J26" s="18">
        <v>1400</v>
      </c>
      <c r="K26" s="20"/>
      <c r="L26" s="19"/>
    </row>
    <row r="27" ht="17.25" spans="2:12">
      <c r="C27" s="13" t="s">
        <v>15</v>
      </c>
      <c r="E27" s="11">
        <v>1400</v>
      </c>
      <c r="F27" s="18">
        <v>2800</v>
      </c>
      <c r="G27" s="9"/>
      <c r="I27" s="11">
        <v>1400</v>
      </c>
      <c r="J27" s="18">
        <v>2800</v>
      </c>
      <c r="K27" s="20"/>
      <c r="L27" s="19"/>
    </row>
    <row r="28" ht="17.25" spans="2:12">
      <c r="C28" s="21" t="s">
        <v>20</v>
      </c>
      <c r="E28" s="18">
        <v>1300</v>
      </c>
      <c r="F28" s="18">
        <v>3000</v>
      </c>
      <c r="G28" s="9"/>
      <c r="I28" s="18">
        <v>1300</v>
      </c>
      <c r="J28" s="18">
        <v>3000</v>
      </c>
      <c r="K28" s="20"/>
      <c r="L28" s="19"/>
    </row>
    <row r="29" ht="17.25" spans="2:12">
      <c r="C29" s="21" t="s">
        <v>21</v>
      </c>
      <c r="E29" s="11">
        <v>1600</v>
      </c>
      <c r="F29" s="18">
        <v>3900</v>
      </c>
      <c r="G29" s="9"/>
      <c r="I29" s="11">
        <v>1600</v>
      </c>
      <c r="J29" s="18">
        <v>3900</v>
      </c>
      <c r="K29" s="20"/>
      <c r="L29" s="19"/>
    </row>
    <row r="30" ht="17.25" spans="2:12">
      <c r="C30" s="21"/>
      <c r="E30" s="11"/>
      <c r="F30" s="18"/>
      <c r="G30" s="9"/>
      <c r="I30" s="11"/>
      <c r="J30" s="18"/>
      <c r="K30" s="20"/>
      <c r="L30" s="19"/>
    </row>
    <row r="31" ht="17.25" spans="2:12">
      <c r="C31" s="13" t="s">
        <v>10</v>
      </c>
      <c r="E31" s="11">
        <v>1000</v>
      </c>
      <c r="F31" s="18"/>
      <c r="G31" s="9"/>
      <c r="I31" s="11">
        <v>1000</v>
      </c>
      <c r="J31" s="18"/>
      <c r="K31" s="20"/>
      <c r="L31" s="19"/>
    </row>
    <row r="32" ht="17.25" spans="2:12">
      <c r="B32" s="3"/>
      <c r="C32" s="13" t="s">
        <v>11</v>
      </c>
      <c r="E32" s="18">
        <v>2600</v>
      </c>
      <c r="F32" s="18">
        <v>2600</v>
      </c>
      <c r="G32" s="9"/>
      <c r="I32" s="18">
        <v>2600</v>
      </c>
      <c r="J32" s="18">
        <v>2600</v>
      </c>
      <c r="K32" s="19"/>
      <c r="L32" s="19"/>
    </row>
    <row r="33" ht="17.25" spans="2:12">
      <c r="B33" s="3"/>
      <c r="C33" s="13"/>
      <c r="E33" s="18"/>
      <c r="F33" s="23"/>
      <c r="G33" s="9"/>
      <c r="I33" s="18"/>
      <c r="J33" s="23"/>
      <c r="K33" s="19"/>
      <c r="L33" s="19"/>
    </row>
    <row r="34" ht="17.25" spans="2:12">
      <c r="B34" s="3"/>
      <c r="C34" s="13"/>
      <c r="E34" s="18"/>
      <c r="F34" s="23"/>
      <c r="G34" s="9"/>
      <c r="I34" s="18"/>
      <c r="J34" s="23"/>
      <c r="K34" s="19"/>
      <c r="L34" s="19"/>
    </row>
    <row r="35" ht="17.25" spans="2:12">
      <c r="B35" s="3" t="s">
        <v>22</v>
      </c>
      <c r="C35" s="15" t="s">
        <v>13</v>
      </c>
      <c r="E35" s="18"/>
      <c r="F35" s="23"/>
      <c r="G35" s="9"/>
      <c r="I35" s="18"/>
      <c r="J35" s="23"/>
      <c r="K35" s="19"/>
      <c r="L35" s="19"/>
    </row>
    <row r="36" ht="17.25" spans="2:12">
      <c r="B36" s="3"/>
      <c r="C36" s="13" t="s">
        <v>23</v>
      </c>
      <c r="D36" s="6">
        <v>14</v>
      </c>
      <c r="E36" s="11"/>
      <c r="F36" s="11">
        <f>2850*D36</f>
        <v>39900</v>
      </c>
      <c r="G36" s="9"/>
      <c r="H36" s="6">
        <v>14</v>
      </c>
      <c r="I36" s="11"/>
      <c r="J36" s="11">
        <f>2100*H36</f>
        <v>29400</v>
      </c>
      <c r="K36" s="19"/>
      <c r="L36" s="19"/>
    </row>
    <row r="37" ht="35.1" customHeight="1" spans="2:12">
      <c r="C37" s="13" t="s">
        <v>9</v>
      </c>
      <c r="E37" s="18"/>
      <c r="F37" s="23">
        <v>25000</v>
      </c>
      <c r="G37" s="9"/>
      <c r="I37" s="18"/>
      <c r="J37" s="23">
        <v>25000</v>
      </c>
      <c r="K37" s="8"/>
      <c r="L37" s="19"/>
    </row>
    <row r="38" ht="34.5" spans="2:12">
      <c r="B38" s="3"/>
      <c r="C38" s="24" t="s">
        <v>24</v>
      </c>
      <c r="D38" s="5"/>
      <c r="E38" s="23">
        <v>18500</v>
      </c>
      <c r="F38" s="23"/>
      <c r="G38" s="9"/>
      <c r="H38" s="5"/>
      <c r="I38" s="23">
        <v>18500</v>
      </c>
      <c r="J38" s="23"/>
      <c r="K38" s="25"/>
      <c r="L38" s="19"/>
    </row>
    <row r="39" ht="17.25" spans="2:12">
      <c r="B39" s="3"/>
      <c r="C39" s="24" t="s">
        <v>25</v>
      </c>
      <c r="D39" s="22"/>
      <c r="E39" s="18"/>
      <c r="F39" s="23">
        <v>5000</v>
      </c>
      <c r="G39" s="9"/>
      <c r="H39" s="22"/>
      <c r="I39" s="18"/>
      <c r="J39" s="23">
        <v>6700</v>
      </c>
      <c r="K39" s="25"/>
      <c r="L39" s="19"/>
    </row>
    <row r="40" ht="17.25" spans="2:12">
      <c r="B40" s="3"/>
      <c r="C40" s="24" t="s">
        <v>26</v>
      </c>
      <c r="D40" s="22"/>
      <c r="E40" s="18">
        <v>650</v>
      </c>
      <c r="F40" s="23">
        <v>13300</v>
      </c>
      <c r="G40" s="9"/>
      <c r="H40" s="22"/>
      <c r="I40" s="18">
        <v>650</v>
      </c>
      <c r="J40" s="23">
        <v>13300</v>
      </c>
      <c r="K40" s="25"/>
      <c r="L40" s="19"/>
    </row>
    <row r="41" ht="17.25" spans="2:12">
      <c r="B41" s="3"/>
      <c r="C41" s="24" t="s">
        <v>27</v>
      </c>
      <c r="D41" s="22"/>
      <c r="E41" s="18">
        <v>550</v>
      </c>
      <c r="F41" s="23">
        <v>13100</v>
      </c>
      <c r="G41" s="9"/>
      <c r="H41" s="22"/>
      <c r="I41" s="18">
        <v>550</v>
      </c>
      <c r="J41" s="23">
        <v>13100</v>
      </c>
      <c r="K41" s="25"/>
      <c r="L41" s="19"/>
    </row>
    <row r="42" ht="17.25" spans="2:12">
      <c r="B42" s="3"/>
      <c r="C42" s="13" t="s">
        <v>10</v>
      </c>
      <c r="E42" s="11">
        <v>1000</v>
      </c>
      <c r="F42" s="23"/>
      <c r="G42" s="9"/>
      <c r="I42" s="11">
        <v>1000</v>
      </c>
      <c r="J42" s="23"/>
      <c r="K42" s="19"/>
      <c r="L42" s="19"/>
    </row>
    <row r="43" ht="17.25" spans="2:12">
      <c r="B43" s="3"/>
      <c r="C43" s="13" t="s">
        <v>11</v>
      </c>
      <c r="E43" s="18">
        <v>2600</v>
      </c>
      <c r="F43" s="18">
        <v>2600</v>
      </c>
      <c r="G43" s="9"/>
      <c r="I43" s="18">
        <v>2600</v>
      </c>
      <c r="J43" s="18">
        <v>2600</v>
      </c>
      <c r="K43" s="19"/>
      <c r="L43" s="19"/>
    </row>
    <row r="44" ht="17.25" spans="2:12">
      <c r="B44" s="3"/>
      <c r="C44" s="13"/>
      <c r="E44" s="18"/>
      <c r="F44" s="23"/>
      <c r="G44" s="9"/>
      <c r="I44" s="18"/>
      <c r="J44" s="23"/>
      <c r="K44" s="19"/>
      <c r="L44" s="19"/>
    </row>
    <row r="45" ht="17.25" spans="2:12">
      <c r="B45" s="3"/>
      <c r="C45" s="13"/>
      <c r="E45" s="18"/>
      <c r="F45" s="23"/>
      <c r="G45" s="9"/>
      <c r="I45" s="18"/>
      <c r="J45" s="23"/>
      <c r="K45" s="19"/>
      <c r="L45" s="19"/>
    </row>
    <row r="46" ht="17.25" spans="2:12">
      <c r="B46" s="3"/>
      <c r="C46" s="15" t="s">
        <v>13</v>
      </c>
      <c r="E46" s="18"/>
      <c r="F46" s="23"/>
      <c r="G46" s="9"/>
      <c r="I46" s="18"/>
      <c r="J46" s="23"/>
      <c r="K46" s="19"/>
      <c r="L46" s="19"/>
    </row>
    <row r="47" ht="17.25" spans="2:12">
      <c r="B47" s="3" t="s">
        <v>28</v>
      </c>
      <c r="C47" s="13" t="s">
        <v>23</v>
      </c>
      <c r="D47" s="26">
        <v>14</v>
      </c>
      <c r="E47" s="11"/>
      <c r="F47" s="11">
        <f>2850*D47</f>
        <v>39900</v>
      </c>
      <c r="G47" s="9"/>
      <c r="H47" s="6">
        <v>14</v>
      </c>
      <c r="I47" s="11"/>
      <c r="J47" s="11">
        <f>2100*H47</f>
        <v>29400</v>
      </c>
      <c r="K47" s="19"/>
      <c r="L47" s="19"/>
    </row>
    <row r="48" ht="17.25" spans="2:12">
      <c r="B48" s="3"/>
      <c r="C48" s="13" t="s">
        <v>9</v>
      </c>
      <c r="E48" s="18"/>
      <c r="F48" s="23">
        <v>25000</v>
      </c>
      <c r="G48" s="9"/>
      <c r="I48" s="18"/>
      <c r="J48" s="23">
        <v>25000</v>
      </c>
      <c r="K48" s="19"/>
      <c r="L48" s="19"/>
    </row>
    <row r="49" ht="17.25" spans="2:12">
      <c r="B49" s="3"/>
      <c r="C49" s="21" t="s">
        <v>29</v>
      </c>
      <c r="D49" s="22"/>
      <c r="E49" s="11">
        <v>1200</v>
      </c>
      <c r="F49" s="18">
        <v>2400</v>
      </c>
      <c r="G49" s="9"/>
      <c r="H49" s="22"/>
      <c r="I49" s="11">
        <v>1200</v>
      </c>
      <c r="J49" s="18">
        <v>2400</v>
      </c>
      <c r="K49" s="19"/>
      <c r="L49" s="19"/>
    </row>
    <row r="50" ht="17.25" spans="2:12">
      <c r="B50" s="3"/>
      <c r="C50" s="21" t="s">
        <v>30</v>
      </c>
      <c r="E50" s="11"/>
      <c r="F50" s="18">
        <v>23600</v>
      </c>
      <c r="G50" s="9"/>
      <c r="I50" s="11"/>
      <c r="J50" s="18">
        <v>11800</v>
      </c>
      <c r="K50" s="8"/>
      <c r="L50" s="19"/>
    </row>
    <row r="51" ht="17.25" spans="2:12">
      <c r="B51" s="3"/>
      <c r="C51" s="13" t="s">
        <v>15</v>
      </c>
      <c r="E51" s="11">
        <v>1400</v>
      </c>
      <c r="F51" s="18">
        <v>2800</v>
      </c>
      <c r="G51" s="9"/>
      <c r="I51" s="11">
        <v>1400</v>
      </c>
      <c r="J51" s="18">
        <v>2800</v>
      </c>
      <c r="K51" s="19"/>
      <c r="L51" s="19"/>
    </row>
    <row r="52" ht="17.25" spans="2:12">
      <c r="B52" s="3"/>
      <c r="C52" s="21" t="s">
        <v>31</v>
      </c>
      <c r="D52" s="22"/>
      <c r="E52" s="11"/>
      <c r="F52" s="11"/>
      <c r="G52" s="7"/>
      <c r="H52" s="22"/>
      <c r="I52" s="11"/>
      <c r="J52" s="11"/>
      <c r="K52" s="8"/>
      <c r="L52" s="8"/>
    </row>
    <row r="53" ht="17.25" spans="2:12">
      <c r="B53" s="3"/>
      <c r="C53" s="21" t="s">
        <v>32</v>
      </c>
      <c r="D53" s="22"/>
      <c r="E53" s="11"/>
      <c r="F53" s="11"/>
      <c r="G53" s="7"/>
      <c r="H53" s="22"/>
      <c r="I53" s="11"/>
      <c r="J53" s="11"/>
      <c r="K53" s="8"/>
      <c r="L53" s="8"/>
    </row>
    <row r="54" ht="17.25" spans="2:12">
      <c r="B54" s="3"/>
      <c r="C54" s="13" t="s">
        <v>10</v>
      </c>
      <c r="D54" s="5"/>
      <c r="E54" s="11">
        <v>1000</v>
      </c>
      <c r="F54" s="11"/>
      <c r="G54" s="7"/>
      <c r="H54" s="5"/>
      <c r="I54" s="11">
        <v>1000</v>
      </c>
      <c r="J54" s="11"/>
      <c r="K54" s="8"/>
      <c r="L54" s="8"/>
    </row>
    <row r="55" ht="17.25" spans="2:12">
      <c r="B55" s="3"/>
      <c r="C55" s="13" t="s">
        <v>11</v>
      </c>
      <c r="E55" s="18">
        <v>2600</v>
      </c>
      <c r="F55" s="18">
        <v>2600</v>
      </c>
      <c r="G55" s="7"/>
      <c r="I55" s="18">
        <v>2600</v>
      </c>
      <c r="J55" s="18">
        <v>2600</v>
      </c>
      <c r="K55" s="8"/>
      <c r="L55" s="8"/>
    </row>
    <row r="56" ht="17.25" spans="2:12">
      <c r="B56" s="3"/>
      <c r="C56" s="13"/>
      <c r="D56" s="5"/>
      <c r="E56" s="11"/>
      <c r="F56" s="11"/>
      <c r="G56" s="7"/>
      <c r="H56" s="5"/>
      <c r="I56" s="11"/>
      <c r="J56" s="11"/>
      <c r="K56" s="8"/>
      <c r="L56" s="8"/>
    </row>
    <row r="57" ht="17.25" spans="2:12">
      <c r="B57" s="3" t="s">
        <v>33</v>
      </c>
      <c r="C57" s="15" t="s">
        <v>13</v>
      </c>
      <c r="D57" s="5"/>
      <c r="E57" s="11">
        <v>12500</v>
      </c>
      <c r="F57" s="11"/>
      <c r="G57" s="7"/>
      <c r="H57" s="5"/>
      <c r="I57" s="11">
        <v>12500</v>
      </c>
      <c r="J57" s="11"/>
      <c r="K57" s="8"/>
      <c r="L57" s="8"/>
    </row>
    <row r="58" ht="17.25" spans="2:12">
      <c r="B58" s="3"/>
      <c r="C58" s="13" t="s">
        <v>23</v>
      </c>
      <c r="D58" s="6">
        <v>12</v>
      </c>
      <c r="E58" s="11"/>
      <c r="F58" s="11">
        <f>2850*D58</f>
        <v>34200</v>
      </c>
      <c r="G58" s="9"/>
      <c r="H58" s="6">
        <v>12</v>
      </c>
      <c r="I58" s="11"/>
      <c r="J58" s="11">
        <f>2100*H58</f>
        <v>25200</v>
      </c>
      <c r="K58" s="8"/>
      <c r="L58" s="8"/>
    </row>
    <row r="59" ht="17.25" spans="2:12">
      <c r="B59" s="3"/>
      <c r="C59" s="13" t="s">
        <v>9</v>
      </c>
      <c r="D59" s="6"/>
      <c r="E59" s="11"/>
      <c r="F59" s="11">
        <v>25000</v>
      </c>
      <c r="G59" s="7"/>
      <c r="H59" s="6"/>
      <c r="I59" s="11"/>
      <c r="J59" s="11">
        <v>25000</v>
      </c>
      <c r="K59" s="8"/>
      <c r="L59" s="8"/>
    </row>
    <row r="60" ht="17.25" spans="2:12">
      <c r="B60" s="3"/>
      <c r="C60" s="21" t="s">
        <v>34</v>
      </c>
      <c r="E60" s="11">
        <v>1200</v>
      </c>
      <c r="F60" s="18">
        <v>2400</v>
      </c>
      <c r="G60" s="7"/>
      <c r="I60" s="11">
        <v>1200</v>
      </c>
      <c r="J60" s="18">
        <v>2400</v>
      </c>
      <c r="K60" s="8"/>
      <c r="L60" s="8"/>
    </row>
    <row r="61" ht="17.25" spans="2:12">
      <c r="B61" s="3"/>
      <c r="C61" s="21" t="s">
        <v>30</v>
      </c>
      <c r="E61" s="11"/>
      <c r="F61" s="18">
        <v>11800</v>
      </c>
      <c r="G61" s="7"/>
      <c r="I61" s="11"/>
      <c r="J61" s="18"/>
      <c r="K61" s="8"/>
      <c r="L61" s="8"/>
    </row>
    <row r="62" ht="17.25" spans="2:12">
      <c r="B62" s="3"/>
      <c r="C62" s="13" t="s">
        <v>35</v>
      </c>
      <c r="E62" s="11">
        <v>1000</v>
      </c>
      <c r="F62" s="11"/>
      <c r="G62" s="9"/>
      <c r="I62" s="11">
        <v>1000</v>
      </c>
      <c r="J62" s="11"/>
      <c r="K62" s="8"/>
      <c r="L62" s="8"/>
    </row>
    <row r="63" ht="17.25" spans="2:12">
      <c r="B63" s="3"/>
      <c r="C63" s="27" t="s">
        <v>36</v>
      </c>
      <c r="D63" s="22"/>
      <c r="E63" s="23">
        <v>700</v>
      </c>
      <c r="F63" s="11">
        <v>1400</v>
      </c>
      <c r="G63" s="9"/>
      <c r="H63" s="22"/>
      <c r="I63" s="23">
        <v>700</v>
      </c>
      <c r="J63" s="11">
        <v>1400</v>
      </c>
      <c r="K63" s="8"/>
      <c r="L63" s="8"/>
    </row>
    <row r="64" ht="17.25" spans="2:12">
      <c r="B64" s="3"/>
      <c r="C64" s="14" t="s">
        <v>30</v>
      </c>
      <c r="E64" s="18"/>
      <c r="F64" s="23"/>
      <c r="G64" s="9"/>
      <c r="I64" s="18"/>
      <c r="J64" s="23"/>
      <c r="K64" s="8"/>
      <c r="L64" s="8"/>
    </row>
    <row r="65" ht="17.25" spans="2:12">
      <c r="B65" s="3"/>
      <c r="C65" s="28" t="s">
        <v>37</v>
      </c>
      <c r="E65" s="11">
        <v>8700</v>
      </c>
      <c r="F65" s="11">
        <v>17400</v>
      </c>
      <c r="G65" s="9"/>
      <c r="I65" s="11">
        <v>8700</v>
      </c>
      <c r="J65" s="11">
        <v>17400</v>
      </c>
      <c r="K65" s="8"/>
      <c r="L65" s="8"/>
    </row>
    <row r="66" ht="17.25" spans="2:12">
      <c r="B66" s="3"/>
      <c r="C66" s="13" t="s">
        <v>11</v>
      </c>
      <c r="E66" s="18">
        <v>2600</v>
      </c>
      <c r="F66" s="18">
        <v>2600</v>
      </c>
      <c r="G66" s="9"/>
      <c r="I66" s="18">
        <v>2600</v>
      </c>
      <c r="J66" s="18">
        <v>2600</v>
      </c>
      <c r="K66" s="8"/>
      <c r="L66" s="8"/>
    </row>
    <row r="67" ht="17.25" spans="2:12">
      <c r="B67" s="3"/>
      <c r="C67" s="13"/>
      <c r="E67" s="11"/>
      <c r="F67" s="11"/>
      <c r="G67" s="9"/>
      <c r="I67" s="11"/>
      <c r="J67" s="11"/>
      <c r="K67" s="8"/>
      <c r="L67" s="8"/>
    </row>
    <row r="68" ht="17.25" spans="2:12">
      <c r="B68" s="3" t="s">
        <v>38</v>
      </c>
      <c r="C68" s="15" t="s">
        <v>13</v>
      </c>
      <c r="D68" s="5"/>
      <c r="E68" s="23"/>
      <c r="F68" s="18"/>
      <c r="G68" s="7"/>
      <c r="H68" s="5"/>
      <c r="I68" s="23"/>
      <c r="J68" s="18"/>
      <c r="K68" s="25"/>
      <c r="L68" s="19"/>
    </row>
    <row r="69" ht="17.25" spans="2:12">
      <c r="B69" s="3"/>
      <c r="C69" s="13" t="s">
        <v>8</v>
      </c>
      <c r="D69" s="6">
        <v>12</v>
      </c>
      <c r="E69" s="11"/>
      <c r="F69" s="11">
        <f>2850*D69</f>
        <v>34200</v>
      </c>
      <c r="G69" s="9"/>
      <c r="H69" s="6">
        <v>12</v>
      </c>
      <c r="I69" s="11"/>
      <c r="J69" s="11">
        <f>2100*H69</f>
        <v>25200</v>
      </c>
      <c r="K69" s="8"/>
      <c r="L69" s="8"/>
    </row>
    <row r="70" ht="17.25" spans="2:12">
      <c r="C70" s="13" t="s">
        <v>9</v>
      </c>
      <c r="E70" s="29"/>
      <c r="F70" s="29">
        <v>25000</v>
      </c>
      <c r="G70" s="9"/>
      <c r="I70" s="29"/>
      <c r="J70" s="29">
        <v>25000</v>
      </c>
      <c r="K70" s="30"/>
      <c r="L70" s="31"/>
    </row>
    <row r="71" ht="17.25" spans="2:12">
      <c r="B71" s="3"/>
      <c r="C71" s="21" t="s">
        <v>39</v>
      </c>
      <c r="D71" s="22"/>
      <c r="E71" s="29">
        <v>600</v>
      </c>
      <c r="F71" s="29">
        <v>1800</v>
      </c>
      <c r="G71" s="9"/>
      <c r="H71" s="22"/>
      <c r="I71" s="29">
        <v>600</v>
      </c>
      <c r="J71" s="29">
        <v>1800</v>
      </c>
      <c r="K71" s="30"/>
      <c r="L71" s="31"/>
    </row>
    <row r="72" ht="17.25" spans="2:12">
      <c r="B72" s="3"/>
      <c r="C72" s="21" t="s">
        <v>40</v>
      </c>
      <c r="D72" s="22"/>
      <c r="E72" s="18">
        <v>1200</v>
      </c>
      <c r="F72" s="18">
        <v>13600</v>
      </c>
      <c r="G72" s="9"/>
      <c r="H72" s="22"/>
      <c r="I72" s="18">
        <v>1200</v>
      </c>
      <c r="J72" s="18">
        <v>13600</v>
      </c>
      <c r="K72" s="8"/>
      <c r="L72" s="8"/>
    </row>
    <row r="73" ht="17.25" spans="2:12">
      <c r="B73" s="3"/>
      <c r="C73" s="13" t="s">
        <v>35</v>
      </c>
      <c r="E73" s="11">
        <v>1000</v>
      </c>
      <c r="F73" s="18"/>
      <c r="G73" s="9"/>
      <c r="I73" s="11">
        <v>1000</v>
      </c>
      <c r="J73" s="18"/>
      <c r="K73" s="8"/>
      <c r="L73" s="8"/>
    </row>
    <row r="74" ht="17.25" spans="2:12">
      <c r="B74" s="3"/>
      <c r="C74" s="21" t="s">
        <v>41</v>
      </c>
      <c r="E74" s="11"/>
      <c r="F74" s="18"/>
      <c r="G74" s="9"/>
      <c r="I74" s="11"/>
      <c r="J74" s="18"/>
      <c r="K74" s="8"/>
      <c r="L74" s="8"/>
    </row>
    <row r="75" ht="17.25" spans="2:12">
      <c r="B75" s="3"/>
      <c r="C75" s="13" t="s">
        <v>10</v>
      </c>
      <c r="D75" s="5"/>
      <c r="E75" s="11">
        <v>1000</v>
      </c>
      <c r="F75" s="18"/>
      <c r="G75" s="9"/>
      <c r="H75" s="5"/>
      <c r="I75" s="11">
        <v>1000</v>
      </c>
      <c r="J75" s="18"/>
      <c r="K75" s="8"/>
      <c r="L75" s="8"/>
    </row>
    <row r="76" ht="17.25" spans="2:12">
      <c r="B76" s="32"/>
      <c r="C76" s="13" t="s">
        <v>11</v>
      </c>
      <c r="E76" s="18">
        <v>2600</v>
      </c>
      <c r="F76" s="18">
        <v>2600</v>
      </c>
      <c r="G76" s="9"/>
      <c r="I76" s="18">
        <v>2600</v>
      </c>
      <c r="J76" s="18">
        <v>2600</v>
      </c>
      <c r="K76" s="30"/>
      <c r="L76" s="31"/>
    </row>
    <row r="77" ht="17.25" spans="2:12">
      <c r="B77" s="3"/>
      <c r="C77" s="13"/>
      <c r="E77" s="11"/>
      <c r="F77" s="11"/>
      <c r="G77" s="9"/>
      <c r="I77" s="11"/>
      <c r="J77" s="11"/>
      <c r="K77" s="8"/>
      <c r="L77" s="8"/>
    </row>
    <row r="78" ht="17.25" spans="2:12">
      <c r="B78" s="3" t="s">
        <v>42</v>
      </c>
      <c r="C78" s="15" t="s">
        <v>43</v>
      </c>
      <c r="E78" s="18"/>
      <c r="F78" s="23"/>
      <c r="G78" s="9"/>
      <c r="I78" s="18"/>
      <c r="J78" s="23"/>
      <c r="K78" s="8"/>
      <c r="L78" s="8"/>
    </row>
    <row r="79" ht="17.25" spans="2:12">
      <c r="B79" s="3"/>
      <c r="C79" s="13" t="s">
        <v>23</v>
      </c>
      <c r="D79" s="6">
        <v>1</v>
      </c>
      <c r="E79" s="11"/>
      <c r="F79" s="11">
        <v>67000</v>
      </c>
      <c r="G79" s="9"/>
      <c r="H79" s="6">
        <v>1</v>
      </c>
      <c r="I79" s="11"/>
      <c r="J79" s="11">
        <v>45000</v>
      </c>
      <c r="K79" s="8"/>
      <c r="L79" s="8"/>
    </row>
    <row r="80" ht="17.25" spans="2:12">
      <c r="C80" s="13" t="s">
        <v>9</v>
      </c>
      <c r="E80" s="18"/>
      <c r="F80" s="23">
        <v>25000</v>
      </c>
      <c r="G80" s="9"/>
      <c r="I80" s="18"/>
      <c r="J80" s="23">
        <v>25000</v>
      </c>
      <c r="K80" s="8"/>
      <c r="L80" s="8"/>
    </row>
    <row r="81" ht="17.25" spans="2:12">
      <c r="B81" s="3"/>
      <c r="C81" s="13" t="s">
        <v>44</v>
      </c>
      <c r="E81" s="18">
        <v>1350</v>
      </c>
      <c r="F81" s="23">
        <v>4050</v>
      </c>
      <c r="G81" s="9"/>
      <c r="I81" s="18">
        <v>1350</v>
      </c>
      <c r="J81" s="23">
        <v>4050</v>
      </c>
      <c r="K81" s="9"/>
      <c r="L81" s="8"/>
    </row>
    <row r="82" ht="17.25" spans="2:12">
      <c r="B82" s="3"/>
      <c r="C82" s="13" t="s">
        <v>45</v>
      </c>
      <c r="E82" s="18">
        <v>1200</v>
      </c>
      <c r="F82" s="23">
        <v>3600</v>
      </c>
      <c r="G82" s="9"/>
      <c r="I82" s="18">
        <v>1200</v>
      </c>
      <c r="J82" s="23">
        <v>3600</v>
      </c>
      <c r="K82" s="33"/>
      <c r="L82" s="33"/>
    </row>
    <row r="83" ht="17.25" spans="2:12">
      <c r="B83" s="3"/>
      <c r="C83" s="13" t="s">
        <v>46</v>
      </c>
      <c r="E83" s="18">
        <v>4450</v>
      </c>
      <c r="F83" s="23">
        <v>22300</v>
      </c>
      <c r="G83" s="9"/>
      <c r="I83" s="18">
        <v>4450</v>
      </c>
      <c r="J83" s="23">
        <v>22300</v>
      </c>
      <c r="K83" s="33"/>
      <c r="L83" s="33"/>
    </row>
    <row r="84" ht="17.25" spans="2:12">
      <c r="B84" s="3"/>
      <c r="C84" s="13"/>
      <c r="E84" s="11"/>
      <c r="F84" s="11"/>
      <c r="G84" s="9"/>
      <c r="I84" s="11"/>
      <c r="J84" s="11"/>
      <c r="K84" s="33"/>
      <c r="L84" s="33"/>
    </row>
    <row r="85" ht="17.25" spans="2:12">
      <c r="B85" s="3"/>
      <c r="C85" s="15" t="s">
        <v>47</v>
      </c>
      <c r="E85" s="18"/>
      <c r="F85" s="23"/>
      <c r="G85" s="9"/>
      <c r="I85" s="18"/>
      <c r="J85" s="23"/>
      <c r="K85" s="33"/>
      <c r="L85" s="33"/>
    </row>
    <row r="86" ht="17.25" spans="2:12">
      <c r="B86" s="3"/>
      <c r="C86" s="13" t="s">
        <v>23</v>
      </c>
      <c r="D86" s="6">
        <v>1</v>
      </c>
      <c r="E86" s="11"/>
      <c r="F86" s="11">
        <v>67000</v>
      </c>
      <c r="G86" s="9"/>
      <c r="H86" s="6">
        <v>1</v>
      </c>
      <c r="I86" s="11"/>
      <c r="J86" s="11">
        <v>45000</v>
      </c>
      <c r="K86" s="33"/>
      <c r="L86" s="33"/>
    </row>
    <row r="87" ht="17.25" spans="2:12">
      <c r="B87" s="3" t="s">
        <v>48</v>
      </c>
      <c r="C87" s="13" t="s">
        <v>9</v>
      </c>
      <c r="E87" s="18"/>
      <c r="F87" s="23">
        <v>25000</v>
      </c>
      <c r="G87" s="9"/>
      <c r="I87" s="18"/>
      <c r="J87" s="23">
        <v>25000</v>
      </c>
      <c r="K87" s="8"/>
      <c r="L87" s="8"/>
    </row>
    <row r="88" ht="17.25" spans="2:12">
      <c r="B88" s="3"/>
      <c r="C88" s="21"/>
      <c r="E88" s="18"/>
      <c r="F88" s="18"/>
      <c r="G88" s="9"/>
      <c r="I88" s="18"/>
      <c r="J88" s="18"/>
      <c r="K88" s="8"/>
      <c r="L88" s="8"/>
    </row>
    <row r="89" ht="17.25" spans="2:12">
      <c r="B89" s="3"/>
      <c r="C89" s="13" t="s">
        <v>44</v>
      </c>
      <c r="D89" s="5"/>
      <c r="E89" s="11">
        <v>900</v>
      </c>
      <c r="F89" s="11">
        <v>2700</v>
      </c>
      <c r="G89" s="9"/>
      <c r="H89" s="5"/>
      <c r="I89" s="11">
        <v>900</v>
      </c>
      <c r="J89" s="11">
        <v>2700</v>
      </c>
      <c r="K89" s="8"/>
      <c r="L89" s="8"/>
    </row>
    <row r="91" spans="2:12">
      <c r="E91" s="34">
        <f t="shared" ref="E91:J91" si="0">SUM(E2:E90)</f>
        <v>88650</v>
      </c>
      <c r="F91" s="34">
        <f t="shared" si="0"/>
        <v>733300</v>
      </c>
      <c r="I91" s="34">
        <f t="shared" si="0"/>
        <v>88650</v>
      </c>
      <c r="J91" s="34">
        <f t="shared" si="0"/>
        <v>604400</v>
      </c>
    </row>
    <row r="93" spans="2:12">
      <c r="E93" s="34">
        <f>E91+F91/F1</f>
        <v>127244.736842105</v>
      </c>
      <c r="F93" s="34">
        <f>E93*F1</f>
        <v>2417650</v>
      </c>
      <c r="I93" s="34">
        <f>I91+J91/J1</f>
        <v>155805.555555556</v>
      </c>
      <c r="J93" s="34">
        <f>I93*J1</f>
        <v>1402250</v>
      </c>
    </row>
    <row r="99" ht="15.75" spans="3:8">
      <c r="C99" s="35"/>
      <c r="D99" s="36"/>
      <c r="E99" s="36"/>
      <c r="F99" s="36"/>
      <c r="G99" s="36"/>
      <c r="H99" s="36"/>
    </row>
    <row r="100" ht="18.75" spans="3:8">
      <c r="C100" s="37" t="s">
        <v>49</v>
      </c>
    </row>
    <row r="101" ht="18.75" spans="3:8">
      <c r="C101" s="37" t="s">
        <v>50</v>
      </c>
    </row>
    <row r="102" ht="18.75" spans="3:8">
      <c r="C102" s="38" t="s">
        <v>51</v>
      </c>
      <c r="D102" s="39"/>
      <c r="E102" s="39"/>
      <c r="F102" s="39"/>
      <c r="G102" s="39"/>
      <c r="H102" s="39"/>
    </row>
    <row r="103" ht="18.75" spans="3:8">
      <c r="C103" s="38" t="s">
        <v>52</v>
      </c>
      <c r="D103" s="39"/>
      <c r="E103" s="39"/>
      <c r="F103" s="39"/>
      <c r="G103" s="39"/>
      <c r="H103" s="39"/>
    </row>
    <row r="104" ht="15.75" spans="3:8">
      <c r="C104" s="35"/>
      <c r="D104" s="36"/>
      <c r="E104" s="36"/>
      <c r="F104" s="36"/>
      <c r="G104" s="36"/>
      <c r="H104" s="3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yangwei</dc:creator>
  <cp:lastModifiedBy>胡擎</cp:lastModifiedBy>
  <dcterms:created xsi:type="dcterms:W3CDTF">2023-08-26T00:00:00Z</dcterms:created>
  <dcterms:modified xsi:type="dcterms:W3CDTF">2026-05-15T19:00:15Z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D5AE5D6FAE6A4D8E801450F23C4E71F8_13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