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<sst xmlns="http://schemas.openxmlformats.org/spreadsheetml/2006/main" count="112" uniqueCount="75">
  <si>
    <t>запрос  11-21.07  20+2  11 твин  20+2</t>
  </si>
  <si>
    <t>Кол-во чел:</t>
  </si>
  <si>
    <t xml:space="preserve">отель  4 звезды  </t>
  </si>
  <si>
    <t xml:space="preserve">Автобус  </t>
  </si>
  <si>
    <t>Регистрация</t>
  </si>
  <si>
    <t>безвизовый</t>
  </si>
  <si>
    <t>Шэньчжэнь -Москва</t>
  </si>
  <si>
    <t>Автобус</t>
  </si>
  <si>
    <t>D1</t>
  </si>
  <si>
    <t>Гид Китайский</t>
  </si>
  <si>
    <t xml:space="preserve">  Русский Ужин</t>
  </si>
  <si>
    <t>4 звёзд г-ца</t>
  </si>
  <si>
    <t>Москва</t>
  </si>
  <si>
    <t>Автобус 09:00-19:00</t>
  </si>
  <si>
    <t>D2</t>
  </si>
  <si>
    <t xml:space="preserve">Кремль </t>
  </si>
  <si>
    <t>Оружейная палата</t>
  </si>
  <si>
    <t>2 гида на Китайском на Кремль и Оруж. палату</t>
  </si>
  <si>
    <t>Русский  Обед</t>
  </si>
  <si>
    <t>Красная площадь</t>
  </si>
  <si>
    <t>Китайский  Ужин</t>
  </si>
  <si>
    <t>D3</t>
  </si>
  <si>
    <t>Третьяковская галерея делим на 2 группы</t>
  </si>
  <si>
    <t>РУССКИЙ гид на Китайском</t>
  </si>
  <si>
    <t>Китайский Обед</t>
  </si>
  <si>
    <t>Метро</t>
  </si>
  <si>
    <t xml:space="preserve">Новодевичье кладбище*                                   группа до 20 чел вкл гида т.е. на группу 20+2 нужно два гида, </t>
  </si>
  <si>
    <t>русский  Ужин</t>
  </si>
  <si>
    <t>Москва - Тула</t>
  </si>
  <si>
    <t xml:space="preserve">Автобус </t>
  </si>
  <si>
    <t>D4</t>
  </si>
  <si>
    <t>Русский Обед</t>
  </si>
  <si>
    <t>Русский  Ужин</t>
  </si>
  <si>
    <t>4 звёзд г-ца Амакс</t>
  </si>
  <si>
    <t>Тула-Сергиев Посад</t>
  </si>
  <si>
    <t>D5</t>
  </si>
  <si>
    <t>СП Лавра 12</t>
  </si>
  <si>
    <t>Музей игрушек под перевод</t>
  </si>
  <si>
    <t>4 звёзд г-ца  Сергиев Посад Царская деревня</t>
  </si>
  <si>
    <t>Сергиев Посад-Суздаль-Владимир</t>
  </si>
  <si>
    <t>D6</t>
  </si>
  <si>
    <t>Кремль</t>
  </si>
  <si>
    <t xml:space="preserve">суздаль Музей деревянного зодчества </t>
  </si>
  <si>
    <t>Покровский монастырь</t>
  </si>
  <si>
    <t xml:space="preserve">3 звёзд г-ца  Владимир Русская деревня </t>
  </si>
  <si>
    <t>Владимир-Москва-СПБ</t>
  </si>
  <si>
    <t>D7</t>
  </si>
  <si>
    <t xml:space="preserve">Кафедральный собор Успения Пресвятой Богородицы </t>
  </si>
  <si>
    <t xml:space="preserve">Дмитриевская церковь </t>
  </si>
  <si>
    <t>Сапсан МСК-СПБ</t>
  </si>
  <si>
    <t>Трансфер СПБ</t>
  </si>
  <si>
    <t>Спб  09:00-19:00</t>
  </si>
  <si>
    <t>D8</t>
  </si>
  <si>
    <t>Эрмитаж 10:30  до 25 чел</t>
  </si>
  <si>
    <t>Спас на крови до 15 чел</t>
  </si>
  <si>
    <t>РУССКИЙ гид на Китайском Эрмитаж + 2 гида на Спас</t>
  </si>
  <si>
    <t>D9</t>
  </si>
  <si>
    <t xml:space="preserve">Ека парк ДВОРЕЦ+парк  </t>
  </si>
  <si>
    <t>РУССКИЙ гид на Китайском на Екат дворец и музей-лицей</t>
  </si>
  <si>
    <t>Мемориальный музей лицей под перевод</t>
  </si>
  <si>
    <t xml:space="preserve">4 звёзд г-ца  </t>
  </si>
  <si>
    <t>D10</t>
  </si>
  <si>
    <t xml:space="preserve">Петергоф  парк </t>
  </si>
  <si>
    <t>РУССКИЙ гид на Китайском Петергоф+лодка</t>
  </si>
  <si>
    <t>Лодка 1 час</t>
  </si>
  <si>
    <t>4 звёзд г-ца СПБ</t>
  </si>
  <si>
    <t>СПБ-МСК  09:00-13:00</t>
  </si>
  <si>
    <t>D11</t>
  </si>
  <si>
    <t>музей Достоевского  до 15 чел 2 гр. под перевод</t>
  </si>
  <si>
    <t>сапсан СПБ-МСК ориентировочнго 13:00</t>
  </si>
  <si>
    <t>Трансфер МСК ж/д вокзал-аэропорт</t>
  </si>
  <si>
    <t>*Новодевичье кладбище</t>
  </si>
  <si>
    <t>Максимально в группе 20 чел!!!</t>
  </si>
  <si>
    <t>Посещение групп только по заявлению и предоставлению пакета документов строго за 4 дня до экскурсии, нужно везти к ним.</t>
  </si>
  <si>
    <t>Гид должен иметь городскую аккредитацию от mos.ru!!!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</si>
</sst>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\ _₽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theme="1"/>
      <name val="宋体"/>
      <charset val="204"/>
      <scheme val="minor"/>
    </font>
    <font>
      <sz val="12"/>
      <color rgb="FFFF0000"/>
      <name val="微软雅黑"/>
      <charset val="134"/>
    </font>
    <font>
      <sz val="12"/>
      <color rgb="FF0070C0"/>
      <name val="微软雅黑"/>
      <charset val="134"/>
    </font>
    <font>
      <sz val="12"/>
      <color theme="1"/>
      <name val="宋体"/>
      <charset val="204"/>
      <scheme val="minor"/>
    </font>
    <font>
      <sz val="12"/>
      <color rgb="FF00B050"/>
      <name val="微软雅黑"/>
      <charset val="134"/>
    </font>
    <font>
      <sz val="12"/>
      <name val="微软雅黑"/>
      <charset val="134"/>
    </font>
    <font>
      <b/>
      <sz val="12"/>
      <color theme="1"/>
      <name val="宋体"/>
      <charset val="204"/>
      <scheme val="minor"/>
    </font>
    <font>
      <b/>
      <sz val="12"/>
      <color theme="1"/>
      <name val="宋体"/>
      <charset val="204"/>
      <scheme val="minor"/>
    </font>
    <font>
      <sz val="12"/>
      <color rgb="FFFF0000"/>
      <name val="Calibri"/>
      <charset val="204"/>
    </font>
    <font>
      <sz val="11"/>
      <color rgb="FFFF0000"/>
      <name val="宋体"/>
      <charset val="204"/>
      <scheme val="minor"/>
    </font>
    <font>
      <b/>
      <sz val="14"/>
      <color rgb="FFFF0000"/>
      <name val="宋体"/>
      <charset val="204"/>
      <scheme val="minor"/>
    </font>
    <font>
      <b/>
      <sz val="14"/>
      <color rgb="FFFF0000"/>
      <name val="Calibri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5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5" borderId="5" applyNumberFormat="0" applyAlignment="0" applyProtection="0">
      <alignment vertical="center"/>
    </xf>
    <xf numFmtId="0" fontId="27" fillId="6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Fill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0" fillId="0" borderId="0" xfId="0" applyBorder="1" applyAlignment="1">
      <alignment vertical="center" wrapText="1"/>
    </xf>
    <xf numFmtId="0" fontId="4" fillId="0" borderId="0" xfId="0" applyFont="1" applyBorder="1">
      <alignment vertical="center"/>
    </xf>
    <xf numFmtId="0" fontId="0" fillId="0" borderId="0" xfId="0" applyBorder="1">
      <alignment vertical="center"/>
    </xf>
    <xf numFmtId="0" fontId="3" fillId="2" borderId="0" xfId="0" applyFont="1" applyFill="1" applyAlignment="1">
      <alignment vertical="center"/>
    </xf>
    <xf numFmtId="0" fontId="4" fillId="0" borderId="1" xfId="0" applyFont="1" applyBorder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7" fillId="0" borderId="0" xfId="0" applyFont="1">
      <alignment vertical="center"/>
    </xf>
    <xf numFmtId="0" fontId="4" fillId="0" borderId="1" xfId="0" applyFont="1" applyBorder="1" applyAlignment="1"/>
    <xf numFmtId="0" fontId="4" fillId="0" borderId="0" xfId="0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5" fillId="0" borderId="0" xfId="0" applyFont="1" applyFill="1" applyAlignment="1">
      <alignment vertical="center" wrapText="1"/>
    </xf>
    <xf numFmtId="0" fontId="4" fillId="0" borderId="1" xfId="0" applyFont="1" applyBorder="1" applyAlignment="1">
      <alignment wrapText="1"/>
    </xf>
    <xf numFmtId="0" fontId="7" fillId="0" borderId="1" xfId="0" applyFont="1" applyBorder="1">
      <alignment vertical="center"/>
    </xf>
    <xf numFmtId="0" fontId="4" fillId="0" borderId="0" xfId="0" applyFont="1" applyBorder="1" applyAlignment="1">
      <alignment wrapText="1"/>
    </xf>
    <xf numFmtId="0" fontId="0" fillId="0" borderId="0" xfId="0" applyFill="1" applyAlignment="1">
      <alignment vertical="center" wrapText="1"/>
    </xf>
    <xf numFmtId="0" fontId="4" fillId="0" borderId="1" xfId="0" applyFont="1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4" fillId="0" borderId="0" xfId="0" applyFont="1" applyFill="1" applyBorder="1">
      <alignment vertical="center"/>
    </xf>
    <xf numFmtId="177" fontId="4" fillId="0" borderId="1" xfId="0" applyNumberFormat="1" applyFont="1" applyBorder="1" applyAlignment="1">
      <alignment horizontal="right"/>
    </xf>
    <xf numFmtId="177" fontId="4" fillId="0" borderId="1" xfId="0" applyNumberFormat="1" applyFont="1" applyBorder="1" applyAlignment="1"/>
    <xf numFmtId="177" fontId="4" fillId="0" borderId="0" xfId="0" applyNumberFormat="1" applyFont="1" applyBorder="1" applyAlignment="1"/>
    <xf numFmtId="177" fontId="4" fillId="0" borderId="0" xfId="0" applyNumberFormat="1" applyFont="1" applyBorder="1" applyAlignment="1">
      <alignment horizontal="right"/>
    </xf>
    <xf numFmtId="176" fontId="5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Border="1" applyAlignment="1"/>
    <xf numFmtId="0" fontId="8" fillId="0" borderId="0" xfId="0" applyFont="1">
      <alignment vertical="center"/>
    </xf>
    <xf numFmtId="0" fontId="0" fillId="0" borderId="1" xfId="0" applyBorder="1">
      <alignment vertical="center"/>
    </xf>
    <xf numFmtId="177" fontId="11" fillId="0" borderId="0" xfId="0" applyNumberFormat="1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>
      <alignment vertical="center"/>
    </xf>
    <xf numFmtId="0" fontId="1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33"/>
  <sheetViews>
    <sheetView tabSelected="1" zoomScale="80" zoomScaleNormal="80" workbookViewId="0">
      <selection activeCell="C66" sqref="C66"/>
    </sheetView>
  </sheetViews>
  <sheetFormatPr defaultColWidth="9.28333333333333" defaultRowHeight="14.25"/>
  <cols>
    <col min="2" max="2" width="16" style="2" customWidth="1"/>
    <col min="3" max="3" width="58" style="3" customWidth="1"/>
    <col min="4" max="4" width="13.5666666666667" customWidth="1"/>
    <col min="5" max="5" width="14.5666666666667" customWidth="1"/>
    <col min="6" max="6" width="14.2833333333333" customWidth="1"/>
    <col min="8" max="8" width="13.5666666666667" customWidth="1"/>
    <col min="9" max="9" width="14.2833333333333" customWidth="1"/>
    <col min="11" max="11" width="14.5666666666667" customWidth="1"/>
    <col min="12" max="12" width="14.2833333333333" customWidth="1"/>
  </cols>
  <sheetData>
    <row r="1" ht="18" spans="2:12">
      <c r="B1" s="4"/>
      <c r="C1" s="5" t="s">
        <v>0</v>
      </c>
      <c r="D1" s="6"/>
      <c r="E1" s="7" t="s">
        <v>1</v>
      </c>
      <c r="F1" s="7">
        <v>20</v>
      </c>
      <c r="G1" s="8"/>
      <c r="H1" s="6"/>
      <c r="I1" s="9"/>
      <c r="J1" s="8"/>
      <c r="K1" s="9"/>
      <c r="L1" s="9"/>
    </row>
    <row r="2" ht="18" spans="2:12">
      <c r="B2" s="4"/>
      <c r="C2" s="5" t="s">
        <v>2</v>
      </c>
      <c r="D2" s="6"/>
      <c r="G2" s="8"/>
      <c r="H2" s="6"/>
      <c r="I2" s="10"/>
      <c r="J2" s="8"/>
      <c r="K2" s="10"/>
      <c r="L2" s="10"/>
    </row>
    <row r="3" ht="18" spans="2:12">
      <c r="B3" s="4"/>
      <c r="C3" s="11" t="s">
        <v>3</v>
      </c>
      <c r="E3" s="12"/>
      <c r="F3" s="12"/>
      <c r="G3" s="10"/>
      <c r="I3" s="9"/>
      <c r="J3" s="10"/>
      <c r="K3" s="9"/>
      <c r="L3" s="9"/>
    </row>
    <row r="4" ht="17.25" spans="2:12">
      <c r="B4" s="4"/>
      <c r="C4" s="13"/>
      <c r="E4" s="12"/>
      <c r="F4" s="12"/>
      <c r="G4" s="10"/>
      <c r="I4" s="9"/>
      <c r="J4" s="10"/>
      <c r="K4" s="9"/>
      <c r="L4" s="9"/>
    </row>
    <row r="5" ht="17.25" spans="2:12">
      <c r="B5" s="4"/>
      <c r="C5" s="13" t="s">
        <v>4</v>
      </c>
      <c r="E5" s="12">
        <v>350</v>
      </c>
      <c r="F5" s="12">
        <v>700</v>
      </c>
      <c r="G5" s="10"/>
      <c r="I5" s="9"/>
      <c r="J5" s="10"/>
      <c r="K5" s="9"/>
      <c r="L5" s="9"/>
    </row>
    <row r="6" ht="17.25" spans="2:12">
      <c r="B6" s="4"/>
      <c r="C6" s="14" t="s">
        <v>5</v>
      </c>
      <c r="E6" s="12"/>
      <c r="F6" s="12"/>
      <c r="G6" s="10"/>
      <c r="I6" s="9"/>
      <c r="J6" s="10"/>
      <c r="K6" s="9"/>
      <c r="L6" s="9"/>
    </row>
    <row r="7" ht="17.25" spans="2:12">
      <c r="B7" s="4"/>
      <c r="C7" s="14"/>
      <c r="E7" s="12"/>
      <c r="F7" s="12"/>
      <c r="G7" s="10"/>
      <c r="I7" s="9"/>
      <c r="J7" s="10"/>
      <c r="K7" s="9"/>
      <c r="L7" s="9"/>
    </row>
    <row r="8" ht="17.25" spans="2:12">
      <c r="B8" s="4">
        <v>46214</v>
      </c>
      <c r="C8" s="15" t="s">
        <v>6</v>
      </c>
      <c r="D8" s="6"/>
      <c r="E8" s="16"/>
      <c r="F8" s="12"/>
      <c r="G8" s="8"/>
      <c r="H8" s="6"/>
      <c r="I8" s="9"/>
      <c r="J8" s="8"/>
      <c r="K8" s="17"/>
      <c r="L8" s="9"/>
    </row>
    <row r="9" ht="17.25" spans="2:12">
      <c r="B9" s="4"/>
      <c r="C9" s="13" t="s">
        <v>7</v>
      </c>
      <c r="D9" s="18">
        <v>7</v>
      </c>
      <c r="E9" s="12"/>
      <c r="F9" s="12">
        <f>2850*D9</f>
        <v>19950</v>
      </c>
      <c r="G9" s="10"/>
      <c r="H9" s="18"/>
      <c r="I9" s="9"/>
      <c r="J9" s="10"/>
      <c r="K9" s="9"/>
      <c r="L9" s="9"/>
    </row>
    <row r="10" ht="17.25" spans="2:12">
      <c r="B10" s="4" t="s">
        <v>8</v>
      </c>
      <c r="C10" s="13" t="s">
        <v>9</v>
      </c>
      <c r="E10" s="12"/>
      <c r="F10" s="12">
        <v>10000</v>
      </c>
      <c r="G10" s="10"/>
      <c r="I10" s="9"/>
      <c r="J10" s="10"/>
      <c r="K10" s="9"/>
      <c r="L10" s="9"/>
    </row>
    <row r="11" ht="17.25" spans="2:12">
      <c r="B11" s="4"/>
      <c r="C11" s="13" t="s">
        <v>10</v>
      </c>
      <c r="E11" s="12">
        <v>1100</v>
      </c>
      <c r="F11" s="12">
        <v>2200</v>
      </c>
      <c r="G11" s="10"/>
      <c r="I11" s="9"/>
      <c r="J11" s="10"/>
      <c r="K11" s="9"/>
      <c r="L11" s="9"/>
    </row>
    <row r="12" ht="17.25" spans="2:12">
      <c r="B12" s="4"/>
      <c r="C12" s="13" t="s">
        <v>11</v>
      </c>
      <c r="E12" s="19">
        <v>3200</v>
      </c>
      <c r="F12" s="19">
        <v>6400</v>
      </c>
      <c r="G12" s="10"/>
      <c r="I12" s="20"/>
      <c r="J12" s="10"/>
      <c r="K12" s="20"/>
      <c r="L12" s="20"/>
    </row>
    <row r="13" ht="17.25" spans="2:12">
      <c r="B13" s="4"/>
      <c r="C13" s="13"/>
      <c r="E13" s="12"/>
      <c r="F13" s="12"/>
      <c r="G13" s="10"/>
      <c r="I13" s="9"/>
      <c r="J13" s="10"/>
      <c r="K13" s="9"/>
      <c r="L13" s="9"/>
    </row>
    <row r="14" ht="17.25" spans="2:12">
      <c r="B14" s="4">
        <f>B8+1</f>
        <v>46215</v>
      </c>
      <c r="C14" s="15" t="s">
        <v>12</v>
      </c>
      <c r="E14" s="12"/>
      <c r="F14" s="12"/>
      <c r="G14" s="10"/>
      <c r="I14" s="9"/>
      <c r="J14" s="10"/>
      <c r="K14" s="9"/>
      <c r="L14" s="9"/>
    </row>
    <row r="15" ht="17.25" spans="2:12">
      <c r="B15" s="4"/>
      <c r="C15" s="13" t="s">
        <v>13</v>
      </c>
      <c r="D15" s="18">
        <v>12</v>
      </c>
      <c r="E15" s="12"/>
      <c r="F15" s="12">
        <f>2850*D15</f>
        <v>34200</v>
      </c>
      <c r="G15" s="10"/>
      <c r="H15" s="18"/>
      <c r="I15" s="9"/>
      <c r="J15" s="10"/>
      <c r="K15" s="9"/>
      <c r="L15" s="9"/>
    </row>
    <row r="16" ht="17.25" spans="2:12">
      <c r="B16" s="4" t="s">
        <v>14</v>
      </c>
      <c r="C16" s="13" t="s">
        <v>9</v>
      </c>
      <c r="E16" s="21"/>
      <c r="F16" s="19">
        <v>25000</v>
      </c>
      <c r="G16" s="10"/>
      <c r="I16" s="20"/>
      <c r="J16" s="10"/>
      <c r="K16" s="22"/>
      <c r="L16" s="20"/>
    </row>
    <row r="17" ht="17.25" spans="2:12">
      <c r="B17" s="4"/>
      <c r="C17" s="23" t="s">
        <v>15</v>
      </c>
      <c r="E17" s="24">
        <v>1300</v>
      </c>
      <c r="F17" s="24">
        <v>2600</v>
      </c>
      <c r="G17" s="10"/>
      <c r="I17" s="20"/>
      <c r="J17" s="10"/>
      <c r="K17" s="22"/>
      <c r="L17" s="20"/>
    </row>
    <row r="18" ht="17.25" spans="2:12">
      <c r="B18" s="4"/>
      <c r="C18" s="23" t="s">
        <v>16</v>
      </c>
      <c r="E18" s="25">
        <v>1600</v>
      </c>
      <c r="F18" s="19">
        <v>3200</v>
      </c>
      <c r="G18" s="10"/>
      <c r="I18" s="20"/>
      <c r="J18" s="10"/>
      <c r="K18" s="22"/>
      <c r="L18" s="20"/>
    </row>
    <row r="19" ht="17.25" spans="2:12">
      <c r="B19" s="4"/>
      <c r="C19" s="23" t="s">
        <v>17</v>
      </c>
      <c r="E19" s="21"/>
      <c r="F19" s="19">
        <v>15400</v>
      </c>
      <c r="G19" s="10"/>
      <c r="I19" s="20"/>
      <c r="J19" s="10"/>
      <c r="K19" s="22"/>
      <c r="L19" s="20"/>
    </row>
    <row r="20" ht="17.25" spans="2:12">
      <c r="B20" s="4"/>
      <c r="C20" s="13" t="s">
        <v>18</v>
      </c>
      <c r="E20" s="21">
        <v>1400</v>
      </c>
      <c r="F20" s="19">
        <v>2800</v>
      </c>
      <c r="G20" s="10"/>
      <c r="I20" s="20"/>
      <c r="J20" s="10"/>
      <c r="K20" s="22"/>
      <c r="L20" s="20"/>
    </row>
    <row r="21" ht="17.25" spans="2:12">
      <c r="B21" s="4"/>
      <c r="C21" s="23" t="s">
        <v>19</v>
      </c>
      <c r="E21" s="21"/>
      <c r="F21" s="19"/>
      <c r="G21" s="10"/>
      <c r="I21" s="20"/>
      <c r="J21" s="10"/>
      <c r="K21" s="22"/>
      <c r="L21" s="20"/>
    </row>
    <row r="22" ht="17.25" spans="2:12">
      <c r="B22" s="4"/>
      <c r="C22" s="13" t="s">
        <v>20</v>
      </c>
      <c r="E22" s="21">
        <v>1000</v>
      </c>
      <c r="F22" s="19"/>
      <c r="G22" s="10"/>
      <c r="I22" s="20"/>
      <c r="J22" s="10"/>
      <c r="K22" s="22"/>
      <c r="L22" s="20"/>
    </row>
    <row r="23" ht="17.25" spans="2:12">
      <c r="B23" s="4"/>
      <c r="C23" s="13" t="s">
        <v>11</v>
      </c>
      <c r="E23" s="19">
        <v>3200</v>
      </c>
      <c r="F23" s="19">
        <v>6400</v>
      </c>
      <c r="G23" s="10"/>
      <c r="I23" s="20"/>
      <c r="J23" s="10"/>
      <c r="K23" s="22"/>
      <c r="L23" s="20"/>
    </row>
    <row r="24" ht="17.25" spans="2:12">
      <c r="B24" s="4"/>
      <c r="C24" s="13"/>
      <c r="E24" s="21"/>
      <c r="F24" s="19"/>
      <c r="G24" s="10"/>
      <c r="I24" s="20"/>
      <c r="J24" s="10"/>
      <c r="K24" s="22"/>
      <c r="L24" s="20"/>
    </row>
    <row r="25" ht="17.25" spans="2:12">
      <c r="B25" s="4">
        <f>B14+1</f>
        <v>46216</v>
      </c>
      <c r="C25" s="15" t="s">
        <v>12</v>
      </c>
      <c r="E25" s="21"/>
      <c r="F25" s="19"/>
      <c r="G25" s="10"/>
      <c r="I25" s="20"/>
      <c r="J25" s="10"/>
      <c r="K25" s="22"/>
      <c r="L25" s="20"/>
    </row>
    <row r="26" ht="17.25" spans="2:12">
      <c r="B26" s="4"/>
      <c r="C26" s="13" t="s">
        <v>13</v>
      </c>
      <c r="D26" s="18">
        <v>12</v>
      </c>
      <c r="E26" s="12"/>
      <c r="F26" s="12">
        <f>2850*D26</f>
        <v>34200</v>
      </c>
      <c r="G26" s="10"/>
      <c r="I26" s="20"/>
      <c r="J26" s="10"/>
      <c r="K26" s="22"/>
      <c r="L26" s="20"/>
    </row>
    <row r="27" ht="17.25" spans="2:12">
      <c r="B27" s="4"/>
      <c r="C27" s="13" t="s">
        <v>9</v>
      </c>
      <c r="D27" s="18"/>
      <c r="E27" s="12"/>
      <c r="F27" s="12"/>
      <c r="G27" s="10"/>
      <c r="I27" s="20"/>
      <c r="J27" s="10"/>
      <c r="K27" s="22"/>
      <c r="L27" s="20"/>
    </row>
    <row r="28" ht="17.25" spans="2:12">
      <c r="B28" s="4" t="s">
        <v>21</v>
      </c>
      <c r="C28" s="23" t="s">
        <v>22</v>
      </c>
      <c r="E28" s="21">
        <v>1200</v>
      </c>
      <c r="F28" s="19">
        <v>2400</v>
      </c>
      <c r="G28" s="10"/>
      <c r="I28" s="20"/>
      <c r="J28" s="10"/>
      <c r="K28" s="22"/>
      <c r="L28" s="20"/>
    </row>
    <row r="29" ht="17.25" spans="2:12">
      <c r="B29" s="4"/>
      <c r="C29" s="23" t="s">
        <v>23</v>
      </c>
      <c r="E29" s="21"/>
      <c r="F29" s="19">
        <v>11800</v>
      </c>
      <c r="G29" s="10"/>
      <c r="I29" s="20"/>
      <c r="J29" s="10"/>
      <c r="K29" s="22"/>
      <c r="L29" s="20"/>
    </row>
    <row r="30" ht="17.25" spans="2:12">
      <c r="B30" s="4"/>
      <c r="C30" s="13"/>
      <c r="E30" s="21"/>
      <c r="F30" s="19"/>
      <c r="G30" s="10"/>
      <c r="I30" s="20"/>
      <c r="J30" s="10"/>
      <c r="K30" s="22"/>
      <c r="L30" s="20"/>
    </row>
    <row r="31" ht="17.25" spans="2:12">
      <c r="B31" s="4"/>
      <c r="C31" s="13" t="s">
        <v>24</v>
      </c>
      <c r="E31" s="21">
        <v>1000</v>
      </c>
      <c r="F31" s="19"/>
      <c r="G31" s="10"/>
      <c r="I31" s="20"/>
      <c r="J31" s="10"/>
      <c r="K31" s="22"/>
      <c r="L31" s="20"/>
    </row>
    <row r="32" ht="17.25" spans="2:12">
      <c r="B32" s="4"/>
      <c r="C32" s="26" t="s">
        <v>25</v>
      </c>
      <c r="E32" s="27">
        <v>70</v>
      </c>
      <c r="F32" s="19">
        <v>140</v>
      </c>
      <c r="G32" s="10"/>
      <c r="I32" s="20"/>
      <c r="J32" s="10"/>
      <c r="K32" s="22"/>
      <c r="L32" s="20"/>
    </row>
    <row r="33" ht="34.5" spans="2:12">
      <c r="B33" s="4"/>
      <c r="C33" s="28" t="s">
        <v>26</v>
      </c>
      <c r="D33" s="6"/>
      <c r="E33" s="29"/>
      <c r="F33" s="30"/>
      <c r="G33" s="8"/>
      <c r="H33" s="6"/>
      <c r="I33" s="31"/>
      <c r="J33" s="10"/>
      <c r="K33" s="20"/>
      <c r="L33" s="20"/>
    </row>
    <row r="34" ht="17.25" spans="2:12">
      <c r="B34" s="4"/>
      <c r="C34" s="14" t="s">
        <v>23</v>
      </c>
      <c r="E34" s="19"/>
      <c r="F34" s="29">
        <v>23600</v>
      </c>
      <c r="G34" s="10"/>
      <c r="I34" s="20"/>
      <c r="J34" s="10"/>
      <c r="K34" s="20"/>
      <c r="L34" s="20"/>
    </row>
    <row r="35" ht="17.25" spans="2:12">
      <c r="B35" s="4"/>
      <c r="C35" s="13" t="s">
        <v>27</v>
      </c>
      <c r="E35" s="19">
        <v>1400</v>
      </c>
      <c r="F35" s="29">
        <v>2800</v>
      </c>
      <c r="G35" s="10"/>
      <c r="I35" s="20"/>
      <c r="J35" s="10"/>
      <c r="K35" s="20"/>
      <c r="L35" s="20"/>
    </row>
    <row r="36" ht="17.25" spans="2:12">
      <c r="B36" s="4"/>
      <c r="C36" s="13" t="s">
        <v>11</v>
      </c>
      <c r="E36" s="19">
        <v>3200</v>
      </c>
      <c r="F36" s="19">
        <v>6400</v>
      </c>
      <c r="G36" s="10"/>
      <c r="I36" s="20"/>
      <c r="J36" s="10"/>
      <c r="K36" s="20"/>
      <c r="L36" s="20"/>
    </row>
    <row r="37" ht="17.25" spans="2:12">
      <c r="B37" s="4"/>
      <c r="C37" s="13"/>
      <c r="E37" s="19"/>
      <c r="F37" s="29"/>
      <c r="G37" s="10"/>
      <c r="I37" s="20"/>
      <c r="J37" s="10"/>
      <c r="K37" s="20"/>
      <c r="L37" s="20"/>
    </row>
    <row r="38" ht="17.25" spans="2:12">
      <c r="B38" s="4"/>
      <c r="C38" s="13"/>
      <c r="E38" s="19"/>
      <c r="F38" s="29"/>
      <c r="G38" s="10"/>
      <c r="I38" s="20"/>
      <c r="J38" s="10"/>
      <c r="K38" s="20"/>
      <c r="L38" s="20"/>
    </row>
    <row r="39" ht="17.25" spans="2:12">
      <c r="B39" s="4">
        <f>B25+1</f>
        <v>46217</v>
      </c>
      <c r="C39" s="15" t="s">
        <v>28</v>
      </c>
      <c r="E39" s="19"/>
      <c r="F39" s="29"/>
      <c r="G39" s="10"/>
      <c r="I39" s="20"/>
      <c r="J39" s="10"/>
      <c r="K39" s="20"/>
      <c r="L39" s="20"/>
    </row>
    <row r="40" ht="17.25" spans="2:12">
      <c r="B40" s="4"/>
      <c r="C40" s="13" t="s">
        <v>29</v>
      </c>
      <c r="D40" s="18">
        <v>1</v>
      </c>
      <c r="E40" s="12"/>
      <c r="F40" s="12">
        <v>61250</v>
      </c>
      <c r="G40" s="10"/>
      <c r="I40" s="20"/>
      <c r="J40" s="10"/>
      <c r="K40" s="20"/>
      <c r="L40" s="20"/>
    </row>
    <row r="41" ht="17.25" spans="2:12">
      <c r="B41" s="4" t="s">
        <v>30</v>
      </c>
      <c r="C41" s="13" t="s">
        <v>9</v>
      </c>
      <c r="E41" s="19"/>
      <c r="F41" s="29">
        <v>25000</v>
      </c>
      <c r="G41" s="10"/>
      <c r="I41" s="20"/>
      <c r="J41" s="10"/>
      <c r="K41" s="20"/>
      <c r="L41" s="20"/>
    </row>
    <row r="42" ht="17.25" spans="2:12">
      <c r="B42" s="4"/>
      <c r="C42" s="13" t="s">
        <v>31</v>
      </c>
      <c r="E42" s="19">
        <v>1350</v>
      </c>
      <c r="F42" s="29">
        <v>5400</v>
      </c>
      <c r="G42" s="10"/>
      <c r="I42" s="20"/>
      <c r="J42" s="10"/>
      <c r="K42" s="20"/>
      <c r="L42" s="20"/>
    </row>
    <row r="43" ht="17.25" spans="2:12">
      <c r="B43" s="4"/>
      <c r="C43" s="13" t="s">
        <v>32</v>
      </c>
      <c r="E43" s="19">
        <v>1200</v>
      </c>
      <c r="F43" s="29">
        <v>4800</v>
      </c>
      <c r="G43" s="10"/>
      <c r="I43" s="20"/>
      <c r="J43" s="10"/>
      <c r="K43" s="20"/>
      <c r="L43" s="20"/>
    </row>
    <row r="44" ht="17.25" spans="2:12">
      <c r="B44" s="4"/>
      <c r="C44" s="13" t="s">
        <v>33</v>
      </c>
      <c r="E44" s="19">
        <v>4450</v>
      </c>
      <c r="F44" s="29">
        <v>22300</v>
      </c>
      <c r="G44" s="10"/>
      <c r="I44" s="20"/>
      <c r="J44" s="10"/>
      <c r="K44" s="20"/>
      <c r="L44" s="20"/>
    </row>
    <row r="45" ht="17.25" spans="2:12">
      <c r="B45" s="4"/>
      <c r="C45" s="13"/>
      <c r="E45" s="19"/>
      <c r="F45" s="29"/>
      <c r="G45" s="10"/>
      <c r="I45" s="20"/>
      <c r="J45" s="10"/>
      <c r="K45" s="20"/>
      <c r="L45" s="20"/>
    </row>
    <row r="46" ht="17.25" spans="2:12">
      <c r="B46" s="4"/>
      <c r="C46" s="13"/>
      <c r="E46" s="19"/>
      <c r="F46" s="29"/>
      <c r="G46" s="10"/>
      <c r="I46" s="20"/>
      <c r="J46" s="10"/>
      <c r="K46" s="20"/>
      <c r="L46" s="20"/>
    </row>
    <row r="47" ht="17.25" spans="2:12">
      <c r="B47" s="4">
        <f>B39+1</f>
        <v>46218</v>
      </c>
      <c r="C47" s="15" t="s">
        <v>34</v>
      </c>
      <c r="E47" s="19"/>
      <c r="F47" s="29"/>
      <c r="G47" s="10"/>
      <c r="I47" s="20"/>
      <c r="J47" s="10"/>
      <c r="K47" s="20"/>
      <c r="L47" s="20"/>
    </row>
    <row r="48" ht="17.25" spans="2:12">
      <c r="B48" s="4" t="s">
        <v>35</v>
      </c>
      <c r="C48" s="13" t="s">
        <v>29</v>
      </c>
      <c r="D48" s="18">
        <v>1</v>
      </c>
      <c r="E48" s="12"/>
      <c r="F48" s="12">
        <v>61250</v>
      </c>
      <c r="G48" s="10"/>
      <c r="I48" s="20"/>
      <c r="J48" s="10"/>
      <c r="K48" s="20"/>
      <c r="L48" s="20"/>
    </row>
    <row r="49" ht="17.25" spans="2:12">
      <c r="B49" s="4"/>
      <c r="C49" s="13" t="s">
        <v>9</v>
      </c>
      <c r="E49" s="19"/>
      <c r="F49" s="29">
        <v>25000</v>
      </c>
      <c r="G49" s="10"/>
      <c r="I49" s="20"/>
      <c r="J49" s="10"/>
      <c r="K49" s="20"/>
      <c r="L49" s="20"/>
    </row>
    <row r="50" ht="17.25" spans="2:12">
      <c r="B50" s="4"/>
      <c r="C50" s="23" t="s">
        <v>36</v>
      </c>
      <c r="E50" s="19">
        <v>1300</v>
      </c>
      <c r="F50" s="19">
        <v>3900</v>
      </c>
      <c r="G50" s="10"/>
      <c r="I50" s="20"/>
      <c r="J50" s="10"/>
      <c r="K50" s="20"/>
      <c r="L50" s="20"/>
    </row>
    <row r="51" ht="17.25" spans="2:12">
      <c r="B51" s="4"/>
      <c r="C51" s="13" t="s">
        <v>31</v>
      </c>
      <c r="D51" s="6"/>
      <c r="E51" s="12">
        <v>900</v>
      </c>
      <c r="F51" s="12">
        <v>3600</v>
      </c>
      <c r="G51" s="8"/>
      <c r="H51" s="6"/>
      <c r="I51" s="9"/>
      <c r="J51" s="8"/>
      <c r="K51" s="9"/>
      <c r="L51" s="9"/>
    </row>
    <row r="52" ht="17.25" spans="2:12">
      <c r="B52" s="4"/>
      <c r="C52" s="23" t="s">
        <v>37</v>
      </c>
      <c r="D52" s="6"/>
      <c r="E52" s="12">
        <v>500</v>
      </c>
      <c r="F52" s="12">
        <v>6000</v>
      </c>
      <c r="G52" s="8"/>
      <c r="H52" s="6"/>
      <c r="I52" s="9"/>
      <c r="J52" s="8"/>
      <c r="K52" s="9"/>
      <c r="L52" s="9"/>
    </row>
    <row r="53" ht="17.25" spans="2:12">
      <c r="B53" s="4"/>
      <c r="C53" s="13" t="s">
        <v>20</v>
      </c>
      <c r="D53" s="6"/>
      <c r="E53" s="12">
        <v>1000</v>
      </c>
      <c r="F53" s="12"/>
      <c r="G53" s="8"/>
      <c r="H53" s="6"/>
      <c r="I53" s="9"/>
      <c r="J53" s="8"/>
      <c r="K53" s="9"/>
      <c r="L53" s="9"/>
    </row>
    <row r="54" s="1" customFormat="1" ht="17.25" spans="2:12">
      <c r="B54" s="4"/>
      <c r="C54" s="13" t="s">
        <v>38</v>
      </c>
      <c r="D54" s="32"/>
      <c r="E54" s="33">
        <v>6650</v>
      </c>
      <c r="F54" s="33">
        <v>39900</v>
      </c>
      <c r="G54" s="34"/>
      <c r="H54" s="32"/>
      <c r="I54" s="35"/>
      <c r="J54" s="34"/>
      <c r="K54" s="35"/>
      <c r="L54" s="35"/>
    </row>
    <row r="55" ht="17.25" spans="2:12">
      <c r="B55" s="4"/>
      <c r="C55" s="13"/>
      <c r="D55" s="6"/>
      <c r="E55" s="12"/>
      <c r="F55" s="12"/>
      <c r="G55" s="8"/>
      <c r="H55" s="6"/>
      <c r="I55" s="9"/>
      <c r="J55" s="8"/>
      <c r="K55" s="9"/>
      <c r="L55" s="9"/>
    </row>
    <row r="56" ht="17.25" spans="2:12">
      <c r="B56" s="4"/>
      <c r="C56" s="13"/>
      <c r="D56" s="6"/>
      <c r="E56" s="12"/>
      <c r="F56" s="12"/>
      <c r="G56" s="8"/>
      <c r="H56" s="6"/>
      <c r="I56" s="9"/>
      <c r="J56" s="8"/>
      <c r="K56" s="9"/>
      <c r="L56" s="9"/>
    </row>
    <row r="57" ht="17.25" spans="2:12">
      <c r="B57" s="4">
        <f>B47+1</f>
        <v>46219</v>
      </c>
      <c r="C57" s="15" t="s">
        <v>39</v>
      </c>
      <c r="D57" s="6"/>
      <c r="E57" s="12">
        <v>12500</v>
      </c>
      <c r="F57" s="12"/>
      <c r="G57" s="8"/>
      <c r="H57" s="6"/>
      <c r="I57" s="9"/>
      <c r="J57" s="8"/>
      <c r="K57" s="9"/>
      <c r="L57" s="9"/>
    </row>
    <row r="58" ht="17.25" spans="2:12">
      <c r="B58" s="4"/>
      <c r="C58" s="13" t="s">
        <v>29</v>
      </c>
      <c r="D58" s="18">
        <v>1</v>
      </c>
      <c r="E58" s="12"/>
      <c r="F58" s="12">
        <v>61250</v>
      </c>
      <c r="G58" s="8"/>
      <c r="H58" s="6"/>
      <c r="I58" s="9"/>
      <c r="J58" s="8"/>
      <c r="K58" s="9"/>
      <c r="L58" s="9"/>
    </row>
    <row r="59" ht="17.25" spans="2:12">
      <c r="B59" s="4"/>
      <c r="C59" s="13" t="s">
        <v>9</v>
      </c>
      <c r="D59" s="18"/>
      <c r="E59" s="12"/>
      <c r="F59" s="12">
        <v>25000</v>
      </c>
      <c r="G59" s="8"/>
      <c r="H59" s="6"/>
      <c r="I59" s="9"/>
      <c r="J59" s="8"/>
      <c r="K59" s="9"/>
      <c r="L59" s="9"/>
    </row>
    <row r="60" ht="17.25" spans="2:12">
      <c r="B60" s="4" t="s">
        <v>40</v>
      </c>
      <c r="C60" s="23" t="s">
        <v>41</v>
      </c>
      <c r="D60" s="6"/>
      <c r="E60" s="12"/>
      <c r="F60" s="12"/>
      <c r="G60" s="8"/>
      <c r="H60" s="6"/>
      <c r="I60" s="9"/>
      <c r="J60" s="8"/>
      <c r="K60" s="9"/>
      <c r="L60" s="9"/>
    </row>
    <row r="61" ht="17.25" spans="2:12">
      <c r="B61" s="4"/>
      <c r="C61" s="23" t="s">
        <v>42</v>
      </c>
      <c r="E61" s="12"/>
      <c r="F61" s="12"/>
      <c r="G61" s="10"/>
      <c r="I61" s="9"/>
      <c r="J61" s="10"/>
      <c r="K61" s="9"/>
      <c r="L61" s="9"/>
    </row>
    <row r="62" ht="17.25" spans="2:12">
      <c r="B62" s="4"/>
      <c r="C62" s="23" t="s">
        <v>43</v>
      </c>
      <c r="E62" s="12"/>
      <c r="F62" s="12"/>
      <c r="G62" s="10"/>
      <c r="I62" s="9"/>
      <c r="J62" s="10"/>
      <c r="K62" s="9"/>
      <c r="L62" s="9"/>
    </row>
    <row r="63" ht="17.25" spans="2:12">
      <c r="B63" s="4"/>
      <c r="C63" s="13" t="s">
        <v>31</v>
      </c>
      <c r="E63" s="12"/>
      <c r="F63" s="12"/>
      <c r="G63" s="10"/>
      <c r="I63" s="9"/>
      <c r="J63" s="10"/>
      <c r="K63" s="9"/>
      <c r="L63" s="9"/>
    </row>
    <row r="64" ht="17.25" spans="2:12">
      <c r="B64" s="4"/>
      <c r="C64" s="13" t="s">
        <v>27</v>
      </c>
      <c r="E64" s="12"/>
      <c r="F64" s="12"/>
      <c r="G64" s="10"/>
      <c r="I64" s="9"/>
      <c r="J64" s="10"/>
      <c r="K64" s="9"/>
      <c r="L64" s="9"/>
    </row>
    <row r="65" ht="17.25" spans="2:12">
      <c r="B65" s="4"/>
      <c r="C65" s="13"/>
      <c r="E65" s="12"/>
      <c r="F65" s="12"/>
      <c r="G65" s="10"/>
      <c r="I65" s="9"/>
      <c r="J65" s="10"/>
      <c r="K65" s="9"/>
      <c r="L65" s="9"/>
    </row>
    <row r="66" ht="17.25" spans="2:12">
      <c r="B66" s="4"/>
      <c r="C66" s="13" t="s">
        <v>44</v>
      </c>
      <c r="E66" s="12"/>
      <c r="F66" s="12"/>
      <c r="G66" s="10"/>
      <c r="I66" s="9"/>
      <c r="J66" s="10"/>
      <c r="K66" s="9"/>
      <c r="L66" s="9"/>
    </row>
    <row r="67" ht="17.25" spans="2:12">
      <c r="B67" s="4"/>
      <c r="C67" s="13"/>
      <c r="E67" s="12"/>
      <c r="F67" s="12"/>
      <c r="G67" s="10"/>
      <c r="I67" s="9"/>
      <c r="J67" s="10"/>
      <c r="K67" s="9"/>
      <c r="L67" s="9"/>
    </row>
    <row r="68" ht="17.25" spans="2:12">
      <c r="B68" s="4">
        <f>B57+1</f>
        <v>46220</v>
      </c>
      <c r="C68" s="15" t="s">
        <v>45</v>
      </c>
      <c r="D68" s="6"/>
      <c r="E68" s="29"/>
      <c r="F68" s="19"/>
      <c r="G68" s="8"/>
      <c r="H68" s="6"/>
      <c r="I68" s="20"/>
      <c r="J68" s="8"/>
      <c r="K68" s="31"/>
      <c r="L68" s="20"/>
    </row>
    <row r="69" ht="17.25" spans="2:12">
      <c r="B69" s="4"/>
      <c r="C69" s="13" t="s">
        <v>7</v>
      </c>
      <c r="D69" s="18">
        <v>1</v>
      </c>
      <c r="E69" s="12"/>
      <c r="F69" s="12">
        <v>61250</v>
      </c>
      <c r="G69" s="10"/>
      <c r="H69" s="18"/>
      <c r="I69" s="9"/>
      <c r="J69" s="10"/>
      <c r="K69" s="9"/>
      <c r="L69" s="9"/>
    </row>
    <row r="70" ht="17.25" spans="2:12">
      <c r="B70" s="4" t="s">
        <v>46</v>
      </c>
      <c r="C70" s="13" t="s">
        <v>9</v>
      </c>
      <c r="E70" s="36"/>
      <c r="F70" s="37">
        <v>25000</v>
      </c>
      <c r="G70" s="10"/>
      <c r="I70" s="38"/>
      <c r="J70" s="10"/>
      <c r="K70" s="39"/>
      <c r="L70" s="38"/>
    </row>
    <row r="71" ht="17.25" spans="2:12">
      <c r="B71" s="4"/>
      <c r="C71" s="23" t="s">
        <v>47</v>
      </c>
      <c r="E71" s="36"/>
      <c r="F71" s="37"/>
      <c r="G71" s="10"/>
      <c r="I71" s="38"/>
      <c r="J71" s="10"/>
      <c r="K71" s="39"/>
      <c r="L71" s="38"/>
    </row>
    <row r="72" ht="17.25" spans="2:12">
      <c r="B72" s="4"/>
      <c r="C72" s="23" t="s">
        <v>48</v>
      </c>
      <c r="E72" s="24"/>
      <c r="F72" s="24"/>
      <c r="G72" s="10"/>
      <c r="I72" s="9"/>
      <c r="J72" s="10"/>
      <c r="K72" s="9"/>
      <c r="L72" s="9"/>
    </row>
    <row r="73" ht="17.25" spans="2:12">
      <c r="B73" s="4"/>
      <c r="C73" s="23" t="s">
        <v>49</v>
      </c>
      <c r="E73" s="21">
        <v>6200</v>
      </c>
      <c r="F73" s="19">
        <v>12400</v>
      </c>
      <c r="G73" s="10"/>
      <c r="I73" s="9"/>
      <c r="J73" s="10"/>
      <c r="K73" s="9"/>
      <c r="L73" s="9"/>
    </row>
    <row r="74" ht="17.25" spans="2:12">
      <c r="B74" s="4"/>
      <c r="C74" s="23" t="s">
        <v>50</v>
      </c>
      <c r="D74" s="18">
        <v>6</v>
      </c>
      <c r="E74" s="12"/>
      <c r="F74" s="12">
        <f>2850*D74</f>
        <v>17100</v>
      </c>
      <c r="G74" s="10"/>
      <c r="I74" s="9"/>
      <c r="J74" s="10"/>
      <c r="K74" s="9"/>
      <c r="L74" s="9"/>
    </row>
    <row r="75" ht="17.25" spans="2:12">
      <c r="B75" s="4"/>
      <c r="C75" s="23"/>
      <c r="E75" s="21"/>
      <c r="F75" s="19"/>
      <c r="G75" s="10"/>
      <c r="I75" s="9"/>
      <c r="J75" s="10"/>
      <c r="K75" s="9"/>
      <c r="L75" s="9"/>
    </row>
    <row r="76" ht="17.25" spans="2:12">
      <c r="B76" s="40"/>
      <c r="C76" s="13" t="s">
        <v>11</v>
      </c>
      <c r="E76" s="30">
        <v>3150</v>
      </c>
      <c r="F76" s="30">
        <v>6300</v>
      </c>
      <c r="G76" s="10"/>
      <c r="I76" s="38"/>
      <c r="J76" s="10"/>
      <c r="K76" s="39"/>
      <c r="L76" s="38"/>
    </row>
    <row r="77" ht="17.25" spans="2:12">
      <c r="B77" s="4"/>
      <c r="C77" s="13"/>
      <c r="E77" s="12"/>
      <c r="F77" s="12"/>
      <c r="G77" s="10"/>
      <c r="I77" s="9"/>
      <c r="J77" s="10"/>
      <c r="K77" s="9"/>
      <c r="L77" s="9"/>
    </row>
    <row r="78" ht="17.25" spans="2:12">
      <c r="B78" s="4">
        <f>B68+1</f>
        <v>46221</v>
      </c>
      <c r="C78" s="15" t="s">
        <v>51</v>
      </c>
      <c r="E78" s="12"/>
      <c r="F78" s="12"/>
      <c r="G78" s="10"/>
      <c r="I78" s="9"/>
      <c r="J78" s="10"/>
      <c r="K78" s="9"/>
      <c r="L78" s="9"/>
    </row>
    <row r="79" ht="17.25" spans="2:12">
      <c r="B79" s="4"/>
      <c r="C79" s="13" t="s">
        <v>7</v>
      </c>
      <c r="D79" s="18">
        <v>12</v>
      </c>
      <c r="E79" s="12"/>
      <c r="F79" s="12">
        <f>2850*D79</f>
        <v>34200</v>
      </c>
      <c r="G79" s="10"/>
      <c r="H79" s="18"/>
      <c r="I79" s="9"/>
      <c r="J79" s="10"/>
      <c r="K79" s="9"/>
      <c r="L79" s="9"/>
    </row>
    <row r="80" ht="17.25" spans="2:12">
      <c r="B80" s="4" t="s">
        <v>52</v>
      </c>
      <c r="C80" s="13" t="s">
        <v>9</v>
      </c>
      <c r="E80" s="12"/>
      <c r="F80" s="12">
        <v>25000</v>
      </c>
      <c r="G80" s="10"/>
      <c r="I80" s="9"/>
      <c r="J80" s="10"/>
      <c r="K80" s="9"/>
      <c r="L80" s="9"/>
    </row>
    <row r="81" ht="17.25" spans="2:12">
      <c r="B81" s="4"/>
      <c r="C81" s="23" t="s">
        <v>53</v>
      </c>
      <c r="E81" s="12">
        <v>1000</v>
      </c>
      <c r="F81" s="12">
        <v>2000</v>
      </c>
      <c r="G81" s="10"/>
      <c r="I81" s="9"/>
      <c r="J81" s="10"/>
      <c r="K81" s="10"/>
      <c r="L81" s="9"/>
    </row>
    <row r="82" ht="17.25" spans="2:12">
      <c r="B82" s="4"/>
      <c r="C82" s="13" t="s">
        <v>24</v>
      </c>
      <c r="E82" s="12">
        <v>1000</v>
      </c>
      <c r="F82" s="12"/>
      <c r="G82" s="10"/>
      <c r="I82" s="41"/>
      <c r="J82" s="10"/>
      <c r="K82" s="41"/>
      <c r="L82" s="41"/>
    </row>
    <row r="83" ht="17.25" spans="2:12">
      <c r="B83" s="4"/>
      <c r="C83" s="23" t="s">
        <v>54</v>
      </c>
      <c r="E83" s="12">
        <v>650</v>
      </c>
      <c r="F83" s="12">
        <v>1300</v>
      </c>
      <c r="G83" s="10"/>
      <c r="I83" s="41"/>
      <c r="J83" s="10"/>
      <c r="K83" s="41"/>
      <c r="L83" s="41"/>
    </row>
    <row r="84" ht="17.25" spans="2:12">
      <c r="B84" s="4"/>
      <c r="C84" s="23" t="s">
        <v>55</v>
      </c>
      <c r="E84" s="12"/>
      <c r="F84" s="12"/>
      <c r="G84" s="10"/>
      <c r="I84" s="41"/>
      <c r="J84" s="10"/>
      <c r="K84" s="41"/>
      <c r="L84" s="41"/>
    </row>
    <row r="85" ht="17.25" spans="2:12">
      <c r="B85" s="4"/>
      <c r="C85" s="13" t="s">
        <v>32</v>
      </c>
      <c r="E85" s="12">
        <v>1500</v>
      </c>
      <c r="F85" s="12">
        <v>3000</v>
      </c>
      <c r="G85" s="10"/>
      <c r="I85" s="41"/>
      <c r="J85" s="10"/>
      <c r="K85" s="41"/>
      <c r="L85" s="41"/>
    </row>
    <row r="86" ht="17.25" spans="2:12">
      <c r="B86" s="4"/>
      <c r="C86" s="13" t="s">
        <v>11</v>
      </c>
      <c r="E86" s="30">
        <v>3150</v>
      </c>
      <c r="F86" s="30">
        <v>6300</v>
      </c>
      <c r="G86" s="10"/>
      <c r="I86" s="41"/>
      <c r="J86" s="10"/>
      <c r="K86" s="41"/>
      <c r="L86" s="41"/>
    </row>
    <row r="87" ht="17.25" spans="2:12">
      <c r="B87" s="4"/>
      <c r="C87" s="13"/>
      <c r="E87" s="12"/>
      <c r="F87" s="12"/>
      <c r="G87" s="10"/>
      <c r="I87" s="41"/>
      <c r="J87" s="10"/>
      <c r="K87" s="41"/>
      <c r="L87" s="41"/>
    </row>
    <row r="88" ht="17.25" spans="2:12">
      <c r="B88" s="4">
        <f>B78+1</f>
        <v>46222</v>
      </c>
      <c r="C88" s="15" t="s">
        <v>51</v>
      </c>
      <c r="E88" s="12"/>
      <c r="F88" s="12"/>
      <c r="G88" s="10"/>
      <c r="I88" s="41"/>
      <c r="J88" s="10"/>
      <c r="K88" s="41"/>
      <c r="L88" s="41"/>
    </row>
    <row r="89" ht="17.25" spans="2:12">
      <c r="B89" s="4"/>
      <c r="C89" s="13" t="s">
        <v>7</v>
      </c>
      <c r="D89" s="18">
        <v>13</v>
      </c>
      <c r="E89" s="12"/>
      <c r="F89" s="12">
        <f>2850*D89</f>
        <v>37050</v>
      </c>
      <c r="G89" s="10"/>
      <c r="I89" s="41"/>
      <c r="J89" s="10"/>
      <c r="K89" s="41"/>
      <c r="L89" s="41"/>
    </row>
    <row r="90" ht="17.25" spans="2:12">
      <c r="B90" s="4" t="s">
        <v>56</v>
      </c>
      <c r="C90" s="13" t="s">
        <v>9</v>
      </c>
      <c r="E90" s="12"/>
      <c r="F90" s="12"/>
      <c r="G90" s="10"/>
      <c r="I90" s="9"/>
      <c r="J90" s="10"/>
      <c r="K90" s="9"/>
      <c r="L90" s="9"/>
    </row>
    <row r="91" ht="17.25" spans="2:12">
      <c r="B91" s="4"/>
      <c r="C91" s="13"/>
      <c r="E91" s="12"/>
      <c r="F91" s="12"/>
      <c r="G91" s="10"/>
      <c r="I91" s="9"/>
      <c r="J91" s="10"/>
      <c r="K91" s="9"/>
      <c r="L91" s="9"/>
    </row>
    <row r="92" ht="17.25" spans="2:12">
      <c r="B92" s="4"/>
      <c r="C92" s="42" t="s">
        <v>57</v>
      </c>
      <c r="E92" s="30">
        <v>3200</v>
      </c>
      <c r="F92" s="30">
        <v>6400</v>
      </c>
      <c r="G92" s="10"/>
      <c r="I92" s="9"/>
      <c r="J92" s="10"/>
      <c r="K92" s="9"/>
      <c r="L92" s="9"/>
    </row>
    <row r="93" ht="17.25" spans="2:12">
      <c r="B93" s="4"/>
      <c r="C93" s="42" t="s">
        <v>58</v>
      </c>
      <c r="E93" s="30"/>
      <c r="F93" s="30">
        <v>17700</v>
      </c>
      <c r="G93" s="10"/>
      <c r="I93" s="9"/>
      <c r="J93" s="10"/>
      <c r="K93" s="9"/>
      <c r="L93" s="9"/>
    </row>
    <row r="94" ht="17.25" spans="2:12">
      <c r="B94" s="4"/>
      <c r="C94" s="23" t="s">
        <v>59</v>
      </c>
      <c r="E94" s="12"/>
      <c r="F94" s="12">
        <v>22000</v>
      </c>
      <c r="G94" s="10"/>
      <c r="I94" s="9"/>
      <c r="J94" s="10"/>
      <c r="K94" s="9"/>
      <c r="L94" s="9"/>
    </row>
    <row r="95" ht="17.25" spans="2:12">
      <c r="B95" s="4"/>
      <c r="C95" s="13" t="s">
        <v>31</v>
      </c>
      <c r="E95" s="12">
        <v>2900</v>
      </c>
      <c r="F95" s="12">
        <v>5800</v>
      </c>
      <c r="G95" s="10"/>
      <c r="I95" s="9"/>
      <c r="J95" s="10"/>
      <c r="K95" s="9"/>
      <c r="L95" s="9"/>
    </row>
    <row r="96" ht="17.25" spans="2:12">
      <c r="B96" s="4"/>
      <c r="C96" s="13" t="s">
        <v>20</v>
      </c>
      <c r="E96" s="12">
        <v>1000</v>
      </c>
      <c r="F96" s="12"/>
      <c r="G96" s="10"/>
      <c r="I96" s="9"/>
      <c r="J96" s="10"/>
      <c r="K96" s="9"/>
      <c r="L96" s="9"/>
    </row>
    <row r="97" ht="17.25" spans="2:12">
      <c r="B97" s="4"/>
      <c r="C97" s="13" t="s">
        <v>60</v>
      </c>
      <c r="E97" s="30">
        <v>3150</v>
      </c>
      <c r="F97" s="30">
        <v>6300</v>
      </c>
      <c r="G97" s="10"/>
      <c r="I97" s="9"/>
      <c r="J97" s="10"/>
      <c r="K97" s="9"/>
      <c r="L97" s="9"/>
    </row>
    <row r="98" ht="17.25" spans="2:12">
      <c r="B98" s="4"/>
      <c r="C98" s="13"/>
      <c r="E98" s="12"/>
      <c r="F98" s="12"/>
      <c r="G98" s="10"/>
      <c r="I98" s="9"/>
      <c r="J98" s="10"/>
      <c r="K98" s="9"/>
      <c r="L98" s="9"/>
    </row>
    <row r="99" ht="17.25" spans="2:12">
      <c r="B99" s="4"/>
      <c r="C99" s="13"/>
      <c r="E99" s="12"/>
      <c r="F99" s="12"/>
      <c r="G99" s="10"/>
      <c r="I99" s="9"/>
      <c r="J99" s="10"/>
      <c r="K99" s="9"/>
      <c r="L99" s="9"/>
    </row>
    <row r="100" ht="17.25" spans="2:12">
      <c r="B100" s="4">
        <f>B88+1</f>
        <v>46223</v>
      </c>
      <c r="C100" s="15" t="s">
        <v>51</v>
      </c>
      <c r="E100" s="12"/>
      <c r="F100" s="12"/>
      <c r="G100" s="10"/>
      <c r="I100" s="9"/>
      <c r="J100" s="10"/>
      <c r="K100" s="9"/>
      <c r="L100" s="9"/>
    </row>
    <row r="101" ht="17.25" spans="2:12">
      <c r="B101" s="4"/>
      <c r="C101" s="13" t="s">
        <v>7</v>
      </c>
      <c r="D101" s="18">
        <v>13</v>
      </c>
      <c r="E101" s="12"/>
      <c r="F101" s="12">
        <f>2850*D101</f>
        <v>37050</v>
      </c>
      <c r="G101" s="10"/>
      <c r="I101" s="9"/>
      <c r="J101" s="10"/>
      <c r="K101" s="9"/>
      <c r="L101" s="9"/>
    </row>
    <row r="102" ht="17.25" spans="2:12">
      <c r="B102" s="4" t="s">
        <v>61</v>
      </c>
      <c r="C102" s="13" t="s">
        <v>9</v>
      </c>
      <c r="E102" s="12"/>
      <c r="F102" s="12"/>
      <c r="G102" s="10"/>
      <c r="I102" s="9"/>
      <c r="J102" s="10"/>
      <c r="K102" s="9"/>
      <c r="L102" s="9"/>
    </row>
    <row r="103" ht="17.25" spans="2:12">
      <c r="B103" s="40"/>
      <c r="C103" s="23" t="s">
        <v>62</v>
      </c>
      <c r="E103" s="12">
        <v>2550</v>
      </c>
      <c r="F103" s="12">
        <v>5100</v>
      </c>
      <c r="G103" s="10"/>
      <c r="I103" s="9"/>
      <c r="J103" s="10"/>
      <c r="K103" s="9"/>
      <c r="L103" s="9"/>
    </row>
    <row r="104" ht="17.25" spans="2:12">
      <c r="B104" s="4"/>
      <c r="C104" s="23" t="s">
        <v>63</v>
      </c>
      <c r="E104" s="43"/>
      <c r="F104" s="12">
        <v>23600</v>
      </c>
      <c r="G104" s="10"/>
      <c r="I104" s="9"/>
      <c r="J104" s="10"/>
      <c r="K104" s="9"/>
      <c r="L104" s="9"/>
    </row>
    <row r="105" ht="17.25" spans="2:12">
      <c r="B105" s="4"/>
      <c r="C105" s="13" t="s">
        <v>31</v>
      </c>
      <c r="E105" s="30">
        <v>1300</v>
      </c>
      <c r="F105" s="12">
        <v>2600</v>
      </c>
      <c r="G105" s="10"/>
      <c r="I105" s="9"/>
      <c r="J105" s="10"/>
      <c r="K105" s="9"/>
      <c r="L105" s="9"/>
    </row>
    <row r="106" ht="17.25" spans="2:12">
      <c r="B106" s="40"/>
      <c r="C106" s="23" t="s">
        <v>64</v>
      </c>
      <c r="E106" s="30">
        <v>1100</v>
      </c>
      <c r="F106" s="12">
        <v>2200</v>
      </c>
      <c r="G106" s="10"/>
      <c r="I106" s="9"/>
      <c r="J106" s="10"/>
      <c r="K106" s="9"/>
      <c r="L106" s="9"/>
    </row>
    <row r="107" ht="17.25" spans="2:12">
      <c r="B107" s="40"/>
      <c r="C107" s="13" t="s">
        <v>20</v>
      </c>
      <c r="E107" s="43">
        <v>1000</v>
      </c>
      <c r="F107" s="12"/>
      <c r="G107" s="10"/>
      <c r="I107" s="9"/>
      <c r="J107" s="10"/>
      <c r="K107" s="9"/>
      <c r="L107" s="9"/>
    </row>
    <row r="108" ht="17.25" spans="2:12">
      <c r="B108" s="40"/>
      <c r="C108" s="23"/>
      <c r="E108" s="43"/>
      <c r="F108" s="12"/>
      <c r="G108" s="10"/>
      <c r="I108" s="9"/>
      <c r="J108" s="10"/>
      <c r="K108" s="9"/>
      <c r="L108" s="9"/>
    </row>
    <row r="109" ht="17.25" spans="2:12">
      <c r="B109" s="40"/>
      <c r="C109" s="13" t="s">
        <v>65</v>
      </c>
      <c r="E109" s="30">
        <v>3150</v>
      </c>
      <c r="F109" s="30">
        <v>6300</v>
      </c>
      <c r="G109" s="10"/>
      <c r="I109" s="9"/>
      <c r="J109" s="10"/>
      <c r="K109" s="9"/>
      <c r="L109" s="9"/>
    </row>
    <row r="110" ht="17.25" spans="2:12">
      <c r="B110" s="4"/>
      <c r="C110" s="13"/>
      <c r="E110" s="43"/>
      <c r="F110" s="43"/>
      <c r="G110" s="10"/>
      <c r="I110" s="10"/>
      <c r="J110" s="10"/>
      <c r="K110" s="10"/>
      <c r="L110" s="10"/>
    </row>
    <row r="111" ht="17.25" spans="2:12">
      <c r="B111" s="4">
        <f>B100+1</f>
        <v>46224</v>
      </c>
      <c r="C111" s="15" t="s">
        <v>66</v>
      </c>
      <c r="E111" s="43"/>
      <c r="F111" s="43"/>
    </row>
    <row r="112" ht="17.25" spans="2:12">
      <c r="B112" s="4"/>
      <c r="C112" s="13" t="s">
        <v>7</v>
      </c>
      <c r="D112" s="18">
        <v>7</v>
      </c>
      <c r="E112" s="12"/>
      <c r="F112" s="12">
        <f>2850*D112</f>
        <v>19950</v>
      </c>
      <c r="H112" s="18"/>
    </row>
    <row r="113" ht="17.25" spans="2:8">
      <c r="B113" s="4" t="s">
        <v>67</v>
      </c>
      <c r="C113" s="13" t="s">
        <v>9</v>
      </c>
      <c r="E113" s="43"/>
      <c r="F113" s="30"/>
    </row>
    <row r="114" ht="17.25" spans="2:8">
      <c r="C114" s="23" t="s">
        <v>68</v>
      </c>
      <c r="E114" s="30">
        <v>500</v>
      </c>
      <c r="F114" s="30">
        <v>20000</v>
      </c>
    </row>
    <row r="115" ht="17.25" spans="2:8">
      <c r="C115" s="23" t="s">
        <v>23</v>
      </c>
      <c r="E115" s="30"/>
      <c r="F115" s="30">
        <v>23600</v>
      </c>
    </row>
    <row r="116" ht="17.25" spans="2:8">
      <c r="C116" s="23" t="s">
        <v>69</v>
      </c>
      <c r="E116" s="21">
        <v>6200</v>
      </c>
      <c r="F116" s="19">
        <v>12400</v>
      </c>
    </row>
    <row r="117" ht="17.25" spans="2:8">
      <c r="C117" s="13" t="s">
        <v>70</v>
      </c>
      <c r="D117" s="18">
        <v>7</v>
      </c>
      <c r="E117" s="12"/>
      <c r="F117" s="12">
        <f>2850*D117</f>
        <v>19950</v>
      </c>
    </row>
    <row r="118" spans="2:8">
      <c r="E118" s="43"/>
      <c r="F118" s="43"/>
    </row>
    <row r="120" spans="2:8">
      <c r="E120" s="44">
        <f>SUM(E2:E119)</f>
        <v>92570</v>
      </c>
      <c r="F120" s="44">
        <f>SUM(F2:F119)</f>
        <v>1016690</v>
      </c>
    </row>
    <row r="122" spans="2:8">
      <c r="E122" s="44">
        <f>E120+F120/F1</f>
        <v>143404.5</v>
      </c>
      <c r="F122" s="44">
        <f>E122*F1</f>
        <v>2868090</v>
      </c>
    </row>
    <row r="128" ht="15.75" spans="2:8">
      <c r="C128" s="45"/>
      <c r="D128" s="46"/>
      <c r="E128" s="46"/>
      <c r="F128" s="46"/>
      <c r="G128" s="46"/>
      <c r="H128" s="46"/>
    </row>
    <row r="129" ht="18.75" spans="3:8">
      <c r="C129" s="47" t="s">
        <v>71</v>
      </c>
    </row>
    <row r="130" ht="18.75" spans="3:8">
      <c r="C130" s="47" t="s">
        <v>72</v>
      </c>
    </row>
    <row r="131" ht="18.75" spans="3:8">
      <c r="C131" s="48" t="s">
        <v>73</v>
      </c>
      <c r="D131" s="49"/>
      <c r="E131" s="49"/>
      <c r="F131" s="49"/>
      <c r="G131" s="49"/>
      <c r="H131" s="49"/>
    </row>
    <row r="132" ht="18.75" spans="3:8">
      <c r="C132" s="48" t="s">
        <v>74</v>
      </c>
      <c r="D132" s="49"/>
      <c r="E132" s="49"/>
      <c r="F132" s="49"/>
      <c r="G132" s="49"/>
      <c r="H132" s="49"/>
    </row>
    <row r="133" ht="15.75" spans="3:8">
      <c r="C133" s="45"/>
      <c r="D133" s="46"/>
      <c r="E133" s="46"/>
      <c r="F133" s="46"/>
      <c r="G133" s="46"/>
      <c r="H133" s="4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yangwei</dc:creator>
  <cp:lastModifiedBy>胡擎</cp:lastModifiedBy>
  <dcterms:created xsi:type="dcterms:W3CDTF">2023-08-26T00:00:00Z</dcterms:created>
  <dcterms:modified xsi:type="dcterms:W3CDTF">2026-05-12T13:14:51Z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DEF36CBFF7F64149917ECD4CF58EAD9C_13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