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mitry D\Downloads\"/>
    </mc:Choice>
  </mc:AlternateContent>
  <xr:revisionPtr revIDLastSave="0" documentId="13_ncr:1_{D49981BA-8B97-4F82-904D-ED7F30E4C6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F6" i="1"/>
  <c r="E105" i="1"/>
  <c r="F117" i="1"/>
  <c r="F109" i="1"/>
  <c r="F104" i="1"/>
  <c r="F101" i="1"/>
  <c r="F97" i="1"/>
  <c r="F38" i="1"/>
  <c r="F23" i="1"/>
  <c r="F9" i="1"/>
  <c r="E111" i="1"/>
  <c r="G110" i="1"/>
  <c r="G6" i="1" s="1"/>
  <c r="E101" i="1"/>
  <c r="E104" i="1"/>
  <c r="E97" i="1"/>
  <c r="E117" i="1"/>
  <c r="E109" i="1"/>
  <c r="E82" i="1"/>
  <c r="E61" i="1"/>
  <c r="E68" i="1"/>
  <c r="E45" i="1"/>
  <c r="E37" i="1"/>
  <c r="E27" i="1"/>
  <c r="E38" i="1"/>
  <c r="E15" i="1"/>
  <c r="E23" i="1"/>
  <c r="E9" i="1"/>
  <c r="E6" i="1" l="1"/>
</calcChain>
</file>

<file path=xl/sharedStrings.xml><?xml version="1.0" encoding="utf-8"?>
<sst xmlns="http://schemas.openxmlformats.org/spreadsheetml/2006/main" count="144" uniqueCount="107">
  <si>
    <t>星期</t>
  </si>
  <si>
    <t>游览日                   序号</t>
  </si>
  <si>
    <t>日期</t>
  </si>
  <si>
    <t>时间</t>
  </si>
  <si>
    <t>莫斯科酒店7000/房间/晚 art hotel</t>
  </si>
  <si>
    <t>彼得堡酒店7000/房间/晚 pulkovskaya</t>
  </si>
  <si>
    <t>周六</t>
  </si>
  <si>
    <t>D1</t>
  </si>
  <si>
    <t>7月11日</t>
  </si>
  <si>
    <t>深圳直飞莫斯科，入住市区酒店休息，倒时差。</t>
  </si>
  <si>
    <t>周日</t>
  </si>
  <si>
    <t>D2</t>
  </si>
  <si>
    <t>7月12日</t>
  </si>
  <si>
    <t>列宁墓</t>
  </si>
  <si>
    <t>克里姆林宫</t>
  </si>
  <si>
    <t>军械库</t>
  </si>
  <si>
    <t>午餐</t>
  </si>
  <si>
    <t>晚餐</t>
  </si>
  <si>
    <t>周一</t>
  </si>
  <si>
    <t>D3</t>
  </si>
  <si>
    <t>7月13日</t>
  </si>
  <si>
    <t>特列季亚科夫画廊</t>
  </si>
  <si>
    <t>莫斯科地铁（地下艺术宫殿）</t>
  </si>
  <si>
    <t>新圣女名人公墓</t>
  </si>
  <si>
    <t>车费： 10+2小时</t>
  </si>
  <si>
    <t>周二</t>
  </si>
  <si>
    <t>D4</t>
  </si>
  <si>
    <t>7月14日</t>
  </si>
  <si>
    <t>图拉报价（托尔斯泰故居，图拉武器博物馆、以及茶饮博物馆）</t>
  </si>
  <si>
    <t>10+2（导游+司机）17500/人 (5星级）</t>
  </si>
  <si>
    <t>20+2（导游+司机）16000/人 (5星级）</t>
  </si>
  <si>
    <t>这个是包含了图拉这一天半所有人的住宿+车费+导游和司机的住宿和用餐费用</t>
  </si>
  <si>
    <t>10+2（导游+司机）16500/人 (4星级）</t>
  </si>
  <si>
    <t>20+2（导游+司机）16000/人 (4星级）</t>
  </si>
  <si>
    <t>周三</t>
  </si>
  <si>
    <t>D5</t>
  </si>
  <si>
    <t>7月15日</t>
  </si>
  <si>
    <t>早上参观完武器博物馆（如果前一天来不及的话）前往谢尔盖耶夫</t>
  </si>
  <si>
    <t>司机餐费1500*2=3000</t>
  </si>
  <si>
    <t>谢尔盖耶夫门票</t>
  </si>
  <si>
    <t>玩具博物馆 票600 （含讲解费用）</t>
  </si>
  <si>
    <t>车费 (265公里）再确定车费</t>
  </si>
  <si>
    <t>住小镇 （参考网上报价）</t>
  </si>
  <si>
    <t>4星酒店：标间双床10000一间    大床房7500一间</t>
  </si>
  <si>
    <t>三星：https://booking-vladimirskayahotel.agast.ru/booking/rooms</t>
  </si>
  <si>
    <t>四星：https://tsarskaya-derevnya.rhotel.site/booking?from=16.07.2026&amp;till=2026%2F7%2F17</t>
  </si>
  <si>
    <t>3星酒店：标间5500一间</t>
  </si>
  <si>
    <t>D6</t>
  </si>
  <si>
    <t>谢尔盖耶夫前往弗拉基米尔</t>
  </si>
  <si>
    <t>车费 (200公里左右）再确定车费</t>
  </si>
  <si>
    <t>金门（外观，进不去，正在装修）</t>
  </si>
  <si>
    <t>弗拉基米尔：圣母升天大教堂+德米特里耶夫教堂</t>
  </si>
  <si>
    <t>4星酒店：标间双床10000一间</t>
  </si>
  <si>
    <t>三星：https://vaniahotel.ru/booking?date=2026-07-16&amp;nights=1</t>
  </si>
  <si>
    <t>三星酒店：7000</t>
  </si>
  <si>
    <t>四星：https://hotel-chester.ru/booking/</t>
  </si>
  <si>
    <t>四星：https://orionhotel.ru/booking/?date=2026-07-16&amp;nights=1&amp;adults=2&amp;children=&amp;children-age=</t>
  </si>
  <si>
    <t>周四</t>
  </si>
  <si>
    <t>D7</t>
  </si>
  <si>
    <t>苏兹达尔 → 莫斯科 → 圣彼得堡（高铁3.5h）</t>
  </si>
  <si>
    <t>另加3小时车费，万一买晚一点的高铁票</t>
  </si>
  <si>
    <t>车费 (240公里）</t>
  </si>
  <si>
    <t>高铁票</t>
  </si>
  <si>
    <t>D8-D11</t>
  </si>
  <si>
    <t>7.17-7.21</t>
  </si>
  <si>
    <t>圣彼得堡 D8-D11</t>
  </si>
  <si>
    <t>报价(不含住宿，要参考网上的价格，导游和司机都用房间，查看报价包含服务清单）</t>
  </si>
  <si>
    <t>D11</t>
  </si>
  <si>
    <t>7月21日</t>
  </si>
  <si>
    <t>莫斯科 飞 深圳（23：10）</t>
  </si>
  <si>
    <t>一个人的费用</t>
  </si>
  <si>
    <t>停车费</t>
  </si>
  <si>
    <t>司机餐费</t>
  </si>
  <si>
    <t>司机餐费 (接机不安排晚餐）</t>
  </si>
  <si>
    <t>车费： 10+2小时(这一天可以不用车，地铁180/人，看酒店有没有在地铁附近）</t>
  </si>
  <si>
    <t>随行2个人的餐费</t>
  </si>
  <si>
    <t>随行2个人的住宿</t>
  </si>
  <si>
    <t>住宿</t>
  </si>
  <si>
    <t>车费 4+2小时</t>
  </si>
  <si>
    <t>晚餐（莫斯科，圣彼得堡午餐晚餐都按30$来算）</t>
  </si>
  <si>
    <t>随行2个人的费用</t>
  </si>
  <si>
    <t>随行2个人的门票</t>
  </si>
  <si>
    <t>司机的住宿</t>
  </si>
  <si>
    <t>导游住宿</t>
  </si>
  <si>
    <t>弗拉基米尔持证导游</t>
  </si>
  <si>
    <t>苏兹达尔持证导游</t>
  </si>
  <si>
    <t>弗拉基米尔住宿</t>
  </si>
  <si>
    <t>司机住宿</t>
  </si>
  <si>
    <t>抵达圣彼得堡之后的晚餐</t>
  </si>
  <si>
    <t>随行2个人的晚餐</t>
  </si>
  <si>
    <t>午餐 自理（自备或者车上用），先算上了，后面可以去掉</t>
  </si>
  <si>
    <t>随行2个人的午餐</t>
  </si>
  <si>
    <t>圣彼得堡住宿 4个晚上</t>
  </si>
  <si>
    <t>导游</t>
  </si>
  <si>
    <t>按照18个人平摊</t>
  </si>
  <si>
    <t>按照20人平摊</t>
  </si>
  <si>
    <t>综合费用（18个人收费）</t>
  </si>
  <si>
    <t>综合费用（20个人收费）</t>
  </si>
  <si>
    <t>收费高速 一天算4000 （4天）</t>
  </si>
  <si>
    <t>车费 （得给另外给司机要个3星级的房间，图拉已经包含了一晚司机和导游的，其他两个地方就参考网上报价要加进去2个房间，导游和旅游团同一个酒店，司机3星级）</t>
  </si>
  <si>
    <t>苏兹达尔：克里姆林（只含圣母安息教堂600）、木造建筑博物馆（700）、波克罗夫斯基修道院（是真正的修道院，可以免费走进去，如果要讲解一团收1000，这一千没有加进去）</t>
  </si>
  <si>
    <t>车费（火车站-机场）4+2小时</t>
  </si>
  <si>
    <t>国家历史博物馆 （外观），不要进去，2-3个小时逛不完·，很无聊，进去要还请持证导游，老贵</t>
  </si>
  <si>
    <t>平摊费用 （18+2）</t>
  </si>
  <si>
    <t>平摊费用（20人都收费）</t>
  </si>
  <si>
    <t>随行2个人的高铁（往返）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</si>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</sst>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charset val="204"/>
      <scheme val="minor"/>
    </font>
    <font>
      <u/>
      <sz val="11"/>
      <color rgb="FF0000FF"/>
      <name val="Aptos Narrow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rgb="FF00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20" fontId="3" fillId="0" borderId="2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20" fontId="7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2" fontId="8" fillId="0" borderId="2" xfId="1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2" fontId="8" fillId="0" borderId="2" xfId="1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2" fontId="3" fillId="4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30" threadCnt="1"/>
    <sheetInfos>
      <sheetInfo cellCmpFml="1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1"/>
  <sheetViews>
    <sheetView tabSelected="1" workbookViewId="0">
      <selection activeCell="H11" sqref="H11"/>
    </sheetView>
  </sheetViews>
  <sheetFormatPr defaultColWidth="9" defaultRowHeight="14.4" x14ac:dyDescent="0.3"/>
  <cols>
    <col min="1" max="1" width="8.88671875" style="4"/>
    <col min="2" max="2" width="8.44140625" style="4" customWidth="1"/>
    <col min="3" max="3" width="12.109375" style="4" customWidth="1"/>
    <col min="4" max="4" width="87.44140625" style="3" customWidth="1"/>
    <col min="5" max="5" width="18.88671875" style="3" customWidth="1"/>
    <col min="6" max="6" width="14.21875" style="3" customWidth="1"/>
    <col min="7" max="7" width="13.44140625" style="3" customWidth="1"/>
    <col min="8" max="8" width="56.21875" style="46" customWidth="1"/>
    <col min="9" max="9" width="35.77734375" style="2" customWidth="1"/>
    <col min="10" max="10" width="9" style="4"/>
    <col min="11" max="11" width="29.21875" style="4" customWidth="1"/>
    <col min="12" max="12" width="27.109375" style="4" customWidth="1"/>
    <col min="13" max="16384" width="9" style="4"/>
  </cols>
  <sheetData>
    <row r="2" spans="1:9" x14ac:dyDescent="0.3">
      <c r="D2" s="39" t="s">
        <v>94</v>
      </c>
      <c r="E2" s="9">
        <f>E6/18</f>
        <v>51812.777777777781</v>
      </c>
      <c r="F2" s="49"/>
    </row>
    <row r="3" spans="1:9" x14ac:dyDescent="0.3">
      <c r="D3" s="39" t="s">
        <v>95</v>
      </c>
      <c r="E3" s="9">
        <f>F6/20</f>
        <v>33784.5</v>
      </c>
      <c r="F3" s="49"/>
    </row>
    <row r="4" spans="1:9" x14ac:dyDescent="0.3">
      <c r="D4" s="39" t="s">
        <v>96</v>
      </c>
      <c r="E4" s="29">
        <f>E2+G6</f>
        <v>195082.77777777778</v>
      </c>
      <c r="F4" s="50"/>
    </row>
    <row r="5" spans="1:9" x14ac:dyDescent="0.3">
      <c r="D5" s="53" t="s">
        <v>97</v>
      </c>
      <c r="E5" s="54">
        <f>E3+G6</f>
        <v>177054.5</v>
      </c>
      <c r="F5" s="50"/>
    </row>
    <row r="6" spans="1:9" ht="21" x14ac:dyDescent="0.3">
      <c r="A6" s="1"/>
      <c r="B6" s="2"/>
      <c r="C6" s="2"/>
      <c r="D6" s="39" t="s">
        <v>106</v>
      </c>
      <c r="E6" s="21">
        <f>SUM(E8:E119)</f>
        <v>932630</v>
      </c>
      <c r="F6" s="21">
        <f>SUM(F8:F119)</f>
        <v>675690</v>
      </c>
      <c r="G6" s="21">
        <f>SUM(G8:G119)</f>
        <v>143270</v>
      </c>
      <c r="I6" s="38"/>
    </row>
    <row r="7" spans="1:9" ht="28.8" x14ac:dyDescent="0.3">
      <c r="A7" s="5" t="s">
        <v>0</v>
      </c>
      <c r="B7" s="6" t="s">
        <v>1</v>
      </c>
      <c r="C7" s="5" t="s">
        <v>2</v>
      </c>
      <c r="D7" s="55" t="s">
        <v>3</v>
      </c>
      <c r="E7" s="18" t="s">
        <v>103</v>
      </c>
      <c r="F7" s="51" t="s">
        <v>104</v>
      </c>
      <c r="G7" s="18" t="s">
        <v>70</v>
      </c>
      <c r="H7" s="47" t="s">
        <v>4</v>
      </c>
    </row>
    <row r="8" spans="1:9" x14ac:dyDescent="0.3">
      <c r="A8" s="9" t="s">
        <v>6</v>
      </c>
      <c r="B8" s="9" t="s">
        <v>7</v>
      </c>
      <c r="C8" s="20" t="s">
        <v>8</v>
      </c>
      <c r="D8" s="11" t="s">
        <v>9</v>
      </c>
      <c r="E8" s="21"/>
      <c r="F8" s="21"/>
      <c r="G8" s="11"/>
      <c r="H8" s="47" t="s">
        <v>5</v>
      </c>
    </row>
    <row r="9" spans="1:9" x14ac:dyDescent="0.3">
      <c r="A9" s="9"/>
      <c r="B9" s="9"/>
      <c r="C9" s="20"/>
      <c r="D9" s="30" t="s">
        <v>78</v>
      </c>
      <c r="E9" s="21">
        <f>6*3510</f>
        <v>21060</v>
      </c>
      <c r="F9" s="21">
        <f>6*3510</f>
        <v>21060</v>
      </c>
      <c r="G9" s="11"/>
    </row>
    <row r="10" spans="1:9" x14ac:dyDescent="0.3">
      <c r="A10" s="9"/>
      <c r="B10" s="9"/>
      <c r="C10" s="20"/>
      <c r="D10" s="30" t="s">
        <v>71</v>
      </c>
      <c r="E10" s="21">
        <v>800</v>
      </c>
      <c r="F10" s="21">
        <v>800</v>
      </c>
      <c r="G10" s="11"/>
    </row>
    <row r="11" spans="1:9" x14ac:dyDescent="0.3">
      <c r="A11" s="9"/>
      <c r="B11" s="9"/>
      <c r="C11" s="20"/>
      <c r="D11" s="30" t="s">
        <v>73</v>
      </c>
      <c r="E11" s="21">
        <v>0</v>
      </c>
      <c r="F11" s="21">
        <v>0</v>
      </c>
      <c r="G11" s="11"/>
    </row>
    <row r="12" spans="1:9" x14ac:dyDescent="0.3">
      <c r="A12" s="15"/>
      <c r="B12" s="15"/>
      <c r="C12" s="15"/>
      <c r="D12" s="16" t="s">
        <v>79</v>
      </c>
      <c r="E12" s="21"/>
      <c r="F12" s="21"/>
      <c r="G12" s="9">
        <v>2300</v>
      </c>
    </row>
    <row r="13" spans="1:9" x14ac:dyDescent="0.3">
      <c r="A13" s="15"/>
      <c r="B13" s="15"/>
      <c r="C13" s="15"/>
      <c r="D13" s="16" t="s">
        <v>93</v>
      </c>
      <c r="E13" s="21">
        <v>15000</v>
      </c>
      <c r="F13" s="21">
        <v>15000</v>
      </c>
      <c r="G13" s="9"/>
    </row>
    <row r="14" spans="1:9" x14ac:dyDescent="0.3">
      <c r="A14" s="15"/>
      <c r="B14" s="15"/>
      <c r="C14" s="15"/>
      <c r="D14" s="16" t="s">
        <v>76</v>
      </c>
      <c r="E14" s="21">
        <v>7000</v>
      </c>
      <c r="F14" s="41">
        <v>0</v>
      </c>
      <c r="G14" s="9"/>
    </row>
    <row r="15" spans="1:9" x14ac:dyDescent="0.3">
      <c r="A15" s="15"/>
      <c r="B15" s="15"/>
      <c r="C15" s="15"/>
      <c r="D15" s="16" t="s">
        <v>75</v>
      </c>
      <c r="E15" s="21">
        <f>2300*2</f>
        <v>4600</v>
      </c>
      <c r="F15" s="41">
        <v>0</v>
      </c>
      <c r="G15" s="9"/>
    </row>
    <row r="16" spans="1:9" x14ac:dyDescent="0.3">
      <c r="A16" s="15"/>
      <c r="B16" s="15"/>
      <c r="C16" s="15"/>
      <c r="D16" s="16" t="s">
        <v>77</v>
      </c>
      <c r="E16" s="21"/>
      <c r="F16" s="21"/>
      <c r="G16" s="9">
        <v>3500</v>
      </c>
    </row>
    <row r="17" spans="1:7" x14ac:dyDescent="0.3">
      <c r="A17" s="22"/>
      <c r="B17" s="22"/>
      <c r="C17" s="22"/>
      <c r="D17" s="23"/>
      <c r="E17" s="24"/>
      <c r="F17" s="24"/>
      <c r="G17" s="23"/>
    </row>
    <row r="18" spans="1:7" x14ac:dyDescent="0.3">
      <c r="A18" s="10" t="s">
        <v>10</v>
      </c>
      <c r="B18" s="12" t="s">
        <v>11</v>
      </c>
      <c r="C18" s="20" t="s">
        <v>12</v>
      </c>
      <c r="D18" s="12"/>
      <c r="E18" s="26"/>
      <c r="F18" s="26"/>
      <c r="G18" s="26"/>
    </row>
    <row r="19" spans="1:7" x14ac:dyDescent="0.3">
      <c r="A19" s="10"/>
      <c r="B19" s="12"/>
      <c r="C19" s="20"/>
      <c r="D19" s="12" t="s">
        <v>13</v>
      </c>
      <c r="E19" s="26"/>
      <c r="F19" s="26"/>
      <c r="G19" s="26"/>
    </row>
    <row r="20" spans="1:7" x14ac:dyDescent="0.3">
      <c r="A20" s="10"/>
      <c r="B20" s="12"/>
      <c r="C20" s="20"/>
      <c r="D20" s="27" t="s">
        <v>102</v>
      </c>
      <c r="E20" s="26"/>
      <c r="F20" s="26"/>
      <c r="G20" s="26"/>
    </row>
    <row r="21" spans="1:7" x14ac:dyDescent="0.3">
      <c r="A21" s="10"/>
      <c r="B21" s="12"/>
      <c r="C21" s="20"/>
      <c r="D21" s="27" t="s">
        <v>14</v>
      </c>
      <c r="E21" s="28">
        <v>1500</v>
      </c>
      <c r="F21" s="28">
        <v>1500</v>
      </c>
      <c r="G21" s="28">
        <v>1500</v>
      </c>
    </row>
    <row r="22" spans="1:7" x14ac:dyDescent="0.3">
      <c r="A22" s="10"/>
      <c r="B22" s="12"/>
      <c r="C22" s="20"/>
      <c r="D22" s="27" t="s">
        <v>15</v>
      </c>
      <c r="E22" s="28">
        <v>2000</v>
      </c>
      <c r="F22" s="28">
        <v>2000</v>
      </c>
      <c r="G22" s="28">
        <v>1800</v>
      </c>
    </row>
    <row r="23" spans="1:7" x14ac:dyDescent="0.3">
      <c r="A23" s="10"/>
      <c r="B23" s="12"/>
      <c r="C23" s="20"/>
      <c r="D23" s="27" t="s">
        <v>74</v>
      </c>
      <c r="E23" s="26">
        <f>12*3510</f>
        <v>42120</v>
      </c>
      <c r="F23" s="26">
        <f>12*3510</f>
        <v>42120</v>
      </c>
      <c r="G23" s="26"/>
    </row>
    <row r="24" spans="1:7" x14ac:dyDescent="0.3">
      <c r="A24" s="10"/>
      <c r="B24" s="9"/>
      <c r="C24" s="10"/>
      <c r="D24" s="11" t="s">
        <v>16</v>
      </c>
      <c r="E24" s="21"/>
      <c r="F24" s="21"/>
      <c r="G24" s="21">
        <v>2300</v>
      </c>
    </row>
    <row r="25" spans="1:7" x14ac:dyDescent="0.3">
      <c r="A25" s="10"/>
      <c r="B25" s="9"/>
      <c r="C25" s="10"/>
      <c r="D25" s="11" t="s">
        <v>17</v>
      </c>
      <c r="E25" s="21"/>
      <c r="F25" s="21"/>
      <c r="G25" s="21">
        <v>2300</v>
      </c>
    </row>
    <row r="26" spans="1:7" x14ac:dyDescent="0.3">
      <c r="A26" s="10"/>
      <c r="B26" s="9"/>
      <c r="C26" s="10"/>
      <c r="D26" s="16" t="s">
        <v>76</v>
      </c>
      <c r="E26" s="21">
        <v>7000</v>
      </c>
      <c r="F26" s="41">
        <v>0</v>
      </c>
      <c r="G26" s="9"/>
    </row>
    <row r="27" spans="1:7" x14ac:dyDescent="0.3">
      <c r="A27" s="10"/>
      <c r="B27" s="9"/>
      <c r="C27" s="10"/>
      <c r="D27" s="16" t="s">
        <v>75</v>
      </c>
      <c r="E27" s="21">
        <f>2300*2</f>
        <v>4600</v>
      </c>
      <c r="F27" s="41">
        <v>0</v>
      </c>
      <c r="G27" s="9"/>
    </row>
    <row r="28" spans="1:7" x14ac:dyDescent="0.3">
      <c r="A28" s="10"/>
      <c r="B28" s="9"/>
      <c r="C28" s="10"/>
      <c r="D28" s="16" t="s">
        <v>93</v>
      </c>
      <c r="E28" s="21">
        <v>30000</v>
      </c>
      <c r="F28" s="21">
        <v>30000</v>
      </c>
      <c r="G28" s="9"/>
    </row>
    <row r="29" spans="1:7" x14ac:dyDescent="0.3">
      <c r="A29" s="10"/>
      <c r="B29" s="9"/>
      <c r="C29" s="10"/>
      <c r="D29" s="16" t="s">
        <v>77</v>
      </c>
      <c r="E29" s="21"/>
      <c r="F29" s="21"/>
      <c r="G29" s="9">
        <v>3500</v>
      </c>
    </row>
    <row r="30" spans="1:7" x14ac:dyDescent="0.3">
      <c r="A30" s="10"/>
      <c r="B30" s="9"/>
      <c r="C30" s="10"/>
      <c r="D30" s="11" t="s">
        <v>71</v>
      </c>
      <c r="E30" s="21">
        <v>2500</v>
      </c>
      <c r="F30" s="21">
        <v>2500</v>
      </c>
      <c r="G30" s="21"/>
    </row>
    <row r="31" spans="1:7" x14ac:dyDescent="0.3">
      <c r="A31" s="10"/>
      <c r="B31" s="9"/>
      <c r="C31" s="10"/>
      <c r="D31" s="11" t="s">
        <v>72</v>
      </c>
      <c r="E31" s="21">
        <v>3000</v>
      </c>
      <c r="F31" s="21">
        <v>3000</v>
      </c>
      <c r="G31" s="21"/>
    </row>
    <row r="32" spans="1:7" x14ac:dyDescent="0.3">
      <c r="A32" s="7"/>
      <c r="B32" s="7"/>
      <c r="C32" s="7"/>
      <c r="D32" s="8"/>
      <c r="E32" s="25"/>
      <c r="F32" s="25"/>
      <c r="G32" s="25"/>
    </row>
    <row r="33" spans="1:8" x14ac:dyDescent="0.3">
      <c r="A33" s="10" t="s">
        <v>18</v>
      </c>
      <c r="B33" s="12" t="s">
        <v>19</v>
      </c>
      <c r="C33" s="20" t="s">
        <v>20</v>
      </c>
      <c r="D33" s="12"/>
      <c r="E33" s="26"/>
      <c r="F33" s="26"/>
      <c r="G33" s="26"/>
    </row>
    <row r="34" spans="1:8" x14ac:dyDescent="0.3">
      <c r="A34" s="10"/>
      <c r="B34" s="12"/>
      <c r="C34" s="10"/>
      <c r="D34" s="27" t="s">
        <v>21</v>
      </c>
      <c r="E34" s="28"/>
      <c r="F34" s="28"/>
      <c r="G34" s="28">
        <v>1400</v>
      </c>
    </row>
    <row r="35" spans="1:8" x14ac:dyDescent="0.3">
      <c r="A35" s="10"/>
      <c r="B35" s="9"/>
      <c r="C35" s="10"/>
      <c r="D35" s="11" t="s">
        <v>22</v>
      </c>
      <c r="E35" s="21"/>
      <c r="F35" s="21"/>
      <c r="G35" s="21">
        <v>90</v>
      </c>
    </row>
    <row r="36" spans="1:8" x14ac:dyDescent="0.3">
      <c r="A36" s="10"/>
      <c r="B36" s="10"/>
      <c r="C36" s="10"/>
      <c r="D36" s="9" t="s">
        <v>23</v>
      </c>
      <c r="E36" s="21"/>
      <c r="F36" s="21"/>
      <c r="G36" s="21">
        <v>300</v>
      </c>
    </row>
    <row r="37" spans="1:8" x14ac:dyDescent="0.3">
      <c r="A37" s="10"/>
      <c r="B37" s="10"/>
      <c r="C37" s="10"/>
      <c r="D37" s="9" t="s">
        <v>81</v>
      </c>
      <c r="E37" s="21">
        <f>(1400+90+300)*2</f>
        <v>3580</v>
      </c>
      <c r="F37" s="41">
        <v>0</v>
      </c>
      <c r="G37" s="21"/>
    </row>
    <row r="38" spans="1:8" x14ac:dyDescent="0.3">
      <c r="A38" s="10"/>
      <c r="B38" s="10"/>
      <c r="C38" s="10"/>
      <c r="D38" s="12" t="s">
        <v>24</v>
      </c>
      <c r="E38" s="26">
        <f>12*3510</f>
        <v>42120</v>
      </c>
      <c r="F38" s="26">
        <f>12*3510</f>
        <v>42120</v>
      </c>
      <c r="G38" s="26"/>
    </row>
    <row r="39" spans="1:8" x14ac:dyDescent="0.3">
      <c r="A39" s="10"/>
      <c r="B39" s="10"/>
      <c r="C39" s="10"/>
      <c r="D39" s="12" t="s">
        <v>71</v>
      </c>
      <c r="E39" s="26">
        <v>2500</v>
      </c>
      <c r="F39" s="26">
        <v>2500</v>
      </c>
      <c r="G39" s="26"/>
    </row>
    <row r="40" spans="1:8" x14ac:dyDescent="0.3">
      <c r="A40" s="10"/>
      <c r="B40" s="10"/>
      <c r="C40" s="10"/>
      <c r="D40" s="12" t="s">
        <v>72</v>
      </c>
      <c r="E40" s="26">
        <v>3000</v>
      </c>
      <c r="F40" s="26">
        <v>3000</v>
      </c>
      <c r="G40" s="26"/>
    </row>
    <row r="41" spans="1:8" x14ac:dyDescent="0.3">
      <c r="A41" s="10"/>
      <c r="B41" s="10"/>
      <c r="C41" s="10"/>
      <c r="D41" s="16" t="s">
        <v>93</v>
      </c>
      <c r="E41" s="21">
        <v>30000</v>
      </c>
      <c r="F41" s="21">
        <v>30000</v>
      </c>
      <c r="G41" s="9"/>
    </row>
    <row r="42" spans="1:8" x14ac:dyDescent="0.3">
      <c r="A42" s="10"/>
      <c r="B42" s="10"/>
      <c r="C42" s="10"/>
      <c r="D42" s="11" t="s">
        <v>16</v>
      </c>
      <c r="E42" s="21"/>
      <c r="F42" s="21"/>
      <c r="G42" s="21">
        <v>2300</v>
      </c>
    </row>
    <row r="43" spans="1:8" x14ac:dyDescent="0.3">
      <c r="A43" s="10"/>
      <c r="B43" s="10"/>
      <c r="C43" s="10"/>
      <c r="D43" s="11" t="s">
        <v>17</v>
      </c>
      <c r="E43" s="21"/>
      <c r="F43" s="21"/>
      <c r="G43" s="21">
        <v>2300</v>
      </c>
    </row>
    <row r="44" spans="1:8" x14ac:dyDescent="0.3">
      <c r="A44" s="10"/>
      <c r="B44" s="10"/>
      <c r="C44" s="10"/>
      <c r="D44" s="16" t="s">
        <v>76</v>
      </c>
      <c r="E44" s="21">
        <v>7000</v>
      </c>
      <c r="F44" s="41">
        <v>0</v>
      </c>
      <c r="G44" s="9"/>
    </row>
    <row r="45" spans="1:8" x14ac:dyDescent="0.3">
      <c r="A45" s="10"/>
      <c r="B45" s="10"/>
      <c r="C45" s="10"/>
      <c r="D45" s="16" t="s">
        <v>75</v>
      </c>
      <c r="E45" s="21">
        <f>2300*2</f>
        <v>4600</v>
      </c>
      <c r="F45" s="41">
        <v>0</v>
      </c>
      <c r="G45" s="9"/>
    </row>
    <row r="46" spans="1:8" x14ac:dyDescent="0.3">
      <c r="A46" s="10"/>
      <c r="B46" s="10"/>
      <c r="C46" s="10"/>
      <c r="D46" s="16" t="s">
        <v>77</v>
      </c>
      <c r="E46" s="21"/>
      <c r="F46" s="21"/>
      <c r="G46" s="9">
        <v>3500</v>
      </c>
    </row>
    <row r="47" spans="1:8" x14ac:dyDescent="0.3">
      <c r="A47" s="7"/>
      <c r="B47" s="7"/>
      <c r="C47" s="7"/>
      <c r="D47" s="8"/>
      <c r="E47" s="25"/>
      <c r="F47" s="25"/>
      <c r="G47" s="25"/>
      <c r="H47" s="48"/>
    </row>
    <row r="48" spans="1:8" x14ac:dyDescent="0.3">
      <c r="A48" s="10" t="s">
        <v>25</v>
      </c>
      <c r="B48" s="12" t="s">
        <v>26</v>
      </c>
      <c r="C48" s="20" t="s">
        <v>27</v>
      </c>
      <c r="D48" s="13" t="s">
        <v>28</v>
      </c>
      <c r="E48" s="26"/>
      <c r="F48" s="26"/>
      <c r="G48" s="26"/>
    </row>
    <row r="49" spans="1:8" x14ac:dyDescent="0.3">
      <c r="A49" s="10"/>
      <c r="B49" s="10"/>
      <c r="C49" s="10"/>
      <c r="D49" s="13" t="s">
        <v>29</v>
      </c>
      <c r="E49" s="26"/>
      <c r="F49" s="26"/>
      <c r="G49" s="26"/>
    </row>
    <row r="50" spans="1:8" x14ac:dyDescent="0.3">
      <c r="A50" s="10"/>
      <c r="B50" s="10"/>
      <c r="C50" s="10"/>
      <c r="D50" s="13" t="s">
        <v>30</v>
      </c>
      <c r="E50" s="26"/>
      <c r="F50" s="26"/>
      <c r="G50" s="26">
        <v>16000</v>
      </c>
      <c r="H50" s="46" t="s">
        <v>31</v>
      </c>
    </row>
    <row r="51" spans="1:8" x14ac:dyDescent="0.3">
      <c r="A51" s="14"/>
      <c r="B51" s="14"/>
      <c r="C51" s="14"/>
      <c r="D51" s="13" t="s">
        <v>32</v>
      </c>
      <c r="E51" s="26"/>
      <c r="F51" s="26"/>
      <c r="G51" s="26"/>
    </row>
    <row r="52" spans="1:8" x14ac:dyDescent="0.3">
      <c r="A52" s="14"/>
      <c r="B52" s="14"/>
      <c r="C52" s="14"/>
      <c r="D52" s="13" t="s">
        <v>33</v>
      </c>
      <c r="E52" s="26"/>
      <c r="F52" s="26"/>
      <c r="G52" s="26"/>
    </row>
    <row r="53" spans="1:8" ht="43.2" x14ac:dyDescent="0.3">
      <c r="A53" s="10"/>
      <c r="B53" s="10"/>
      <c r="C53" s="10"/>
      <c r="D53" s="40" t="s">
        <v>99</v>
      </c>
      <c r="E53" s="26">
        <v>245000</v>
      </c>
      <c r="F53" s="26">
        <v>245000</v>
      </c>
      <c r="G53" s="26"/>
    </row>
    <row r="54" spans="1:8" x14ac:dyDescent="0.3">
      <c r="A54" s="10"/>
      <c r="B54" s="10"/>
      <c r="C54" s="10"/>
      <c r="D54" s="16" t="s">
        <v>80</v>
      </c>
      <c r="E54" s="26">
        <v>32000</v>
      </c>
      <c r="F54" s="52">
        <v>0</v>
      </c>
      <c r="G54" s="26"/>
    </row>
    <row r="55" spans="1:8" x14ac:dyDescent="0.3">
      <c r="A55" s="10"/>
      <c r="B55" s="10"/>
      <c r="C55" s="10"/>
      <c r="D55" s="16" t="s">
        <v>93</v>
      </c>
      <c r="E55" s="21">
        <v>30000</v>
      </c>
      <c r="F55" s="21">
        <v>30000</v>
      </c>
      <c r="G55" s="9"/>
    </row>
    <row r="56" spans="1:8" x14ac:dyDescent="0.3">
      <c r="A56" s="14"/>
      <c r="B56" s="14"/>
      <c r="C56" s="14"/>
      <c r="D56" s="13" t="s">
        <v>98</v>
      </c>
      <c r="E56" s="26">
        <v>16000</v>
      </c>
      <c r="F56" s="26">
        <v>16000</v>
      </c>
      <c r="G56" s="26"/>
    </row>
    <row r="57" spans="1:8" x14ac:dyDescent="0.3">
      <c r="A57" s="7"/>
      <c r="B57" s="7"/>
      <c r="C57" s="7"/>
      <c r="D57" s="8"/>
      <c r="E57" s="25"/>
      <c r="F57" s="25"/>
      <c r="G57" s="25"/>
    </row>
    <row r="58" spans="1:8" x14ac:dyDescent="0.3">
      <c r="A58" s="10" t="s">
        <v>34</v>
      </c>
      <c r="B58" s="12" t="s">
        <v>35</v>
      </c>
      <c r="C58" s="20" t="s">
        <v>36</v>
      </c>
      <c r="D58" s="9" t="s">
        <v>37</v>
      </c>
      <c r="E58" s="21"/>
      <c r="F58" s="21"/>
      <c r="G58" s="21"/>
    </row>
    <row r="59" spans="1:8" x14ac:dyDescent="0.3">
      <c r="A59" s="10"/>
      <c r="B59" s="10"/>
      <c r="C59" s="10"/>
      <c r="D59" s="16" t="s">
        <v>39</v>
      </c>
      <c r="E59" s="34"/>
      <c r="F59" s="34"/>
      <c r="G59" s="34">
        <v>1000</v>
      </c>
    </row>
    <row r="60" spans="1:8" x14ac:dyDescent="0.3">
      <c r="A60" s="10"/>
      <c r="B60" s="10"/>
      <c r="C60" s="10"/>
      <c r="D60" s="16" t="s">
        <v>40</v>
      </c>
      <c r="E60" s="34"/>
      <c r="F60" s="34"/>
      <c r="G60" s="34">
        <v>600</v>
      </c>
    </row>
    <row r="61" spans="1:8" x14ac:dyDescent="0.3">
      <c r="A61" s="10"/>
      <c r="B61" s="10"/>
      <c r="C61" s="10"/>
      <c r="D61" s="16" t="s">
        <v>81</v>
      </c>
      <c r="E61" s="34">
        <f>(1000+600)*2</f>
        <v>3200</v>
      </c>
      <c r="F61" s="41">
        <v>0</v>
      </c>
      <c r="G61" s="34"/>
    </row>
    <row r="62" spans="1:8" x14ac:dyDescent="0.3">
      <c r="A62" s="10"/>
      <c r="B62" s="10"/>
      <c r="C62" s="10"/>
      <c r="D62" s="9" t="s">
        <v>41</v>
      </c>
      <c r="E62" s="21"/>
      <c r="F62" s="21"/>
      <c r="G62" s="21"/>
    </row>
    <row r="63" spans="1:8" x14ac:dyDescent="0.3">
      <c r="A63" s="10"/>
      <c r="B63" s="10"/>
      <c r="C63" s="10"/>
      <c r="D63" s="16" t="s">
        <v>93</v>
      </c>
      <c r="E63" s="21">
        <v>30000</v>
      </c>
      <c r="F63" s="21">
        <v>30000</v>
      </c>
      <c r="G63" s="21"/>
    </row>
    <row r="64" spans="1:8" x14ac:dyDescent="0.3">
      <c r="A64" s="10"/>
      <c r="B64" s="10"/>
      <c r="C64" s="10"/>
      <c r="D64" s="9" t="s">
        <v>16</v>
      </c>
      <c r="E64" s="21"/>
      <c r="F64" s="21"/>
      <c r="G64" s="21">
        <v>2300</v>
      </c>
    </row>
    <row r="65" spans="1:8" x14ac:dyDescent="0.3">
      <c r="A65" s="10"/>
      <c r="B65" s="10"/>
      <c r="C65" s="10"/>
      <c r="D65" s="9" t="s">
        <v>17</v>
      </c>
      <c r="E65" s="21"/>
      <c r="F65" s="21"/>
      <c r="G65" s="21">
        <v>2300</v>
      </c>
    </row>
    <row r="66" spans="1:8" x14ac:dyDescent="0.3">
      <c r="A66" s="10"/>
      <c r="B66" s="10"/>
      <c r="C66" s="10"/>
      <c r="D66" s="15" t="s">
        <v>42</v>
      </c>
      <c r="E66" s="31"/>
      <c r="F66" s="31"/>
      <c r="G66" s="31"/>
    </row>
    <row r="67" spans="1:8" x14ac:dyDescent="0.3">
      <c r="A67" s="10"/>
      <c r="B67" s="10"/>
      <c r="C67" s="10"/>
      <c r="D67" s="16" t="s">
        <v>76</v>
      </c>
      <c r="E67" s="21">
        <v>10000</v>
      </c>
      <c r="F67" s="41">
        <v>0</v>
      </c>
      <c r="G67" s="9"/>
      <c r="H67" s="47"/>
    </row>
    <row r="68" spans="1:8" x14ac:dyDescent="0.3">
      <c r="A68" s="10"/>
      <c r="B68" s="10"/>
      <c r="C68" s="10"/>
      <c r="D68" s="16" t="s">
        <v>75</v>
      </c>
      <c r="E68" s="21">
        <f>2300*2</f>
        <v>4600</v>
      </c>
      <c r="F68" s="41">
        <v>0</v>
      </c>
      <c r="G68" s="9"/>
      <c r="H68" s="47"/>
    </row>
    <row r="69" spans="1:8" x14ac:dyDescent="0.3">
      <c r="A69" s="10"/>
      <c r="B69" s="10"/>
      <c r="C69" s="10"/>
      <c r="D69" s="15" t="s">
        <v>72</v>
      </c>
      <c r="E69" s="31">
        <v>3000</v>
      </c>
      <c r="F69" s="31">
        <v>3000</v>
      </c>
      <c r="G69" s="31"/>
      <c r="H69" s="47"/>
    </row>
    <row r="70" spans="1:8" x14ac:dyDescent="0.3">
      <c r="A70" s="10"/>
      <c r="B70" s="10"/>
      <c r="C70" s="10"/>
      <c r="D70" s="15" t="s">
        <v>77</v>
      </c>
      <c r="E70" s="31"/>
      <c r="F70" s="31"/>
      <c r="G70" s="31">
        <v>5000</v>
      </c>
      <c r="H70" s="47" t="s">
        <v>43</v>
      </c>
    </row>
    <row r="71" spans="1:8" x14ac:dyDescent="0.3">
      <c r="A71" s="10"/>
      <c r="B71" s="10"/>
      <c r="C71" s="10"/>
      <c r="D71" s="15" t="s">
        <v>83</v>
      </c>
      <c r="E71" s="31">
        <v>7500</v>
      </c>
      <c r="F71" s="31">
        <v>7500</v>
      </c>
      <c r="G71" s="31"/>
      <c r="H71" s="47"/>
    </row>
    <row r="72" spans="1:8" x14ac:dyDescent="0.3">
      <c r="A72" s="10"/>
      <c r="B72" s="10"/>
      <c r="C72" s="10"/>
      <c r="D72" s="15" t="s">
        <v>82</v>
      </c>
      <c r="E72" s="31">
        <v>5500</v>
      </c>
      <c r="F72" s="31">
        <v>5500</v>
      </c>
      <c r="G72" s="31"/>
      <c r="H72" s="47"/>
    </row>
    <row r="73" spans="1:8" x14ac:dyDescent="0.3">
      <c r="A73" s="10"/>
      <c r="B73" s="10"/>
      <c r="C73" s="10"/>
      <c r="D73" s="32" t="s">
        <v>44</v>
      </c>
      <c r="E73" s="33"/>
      <c r="F73" s="33"/>
      <c r="G73" s="33"/>
      <c r="H73" s="47"/>
    </row>
    <row r="74" spans="1:8" x14ac:dyDescent="0.3">
      <c r="A74" s="10"/>
      <c r="B74" s="10"/>
      <c r="C74" s="10"/>
      <c r="D74" s="32" t="s">
        <v>45</v>
      </c>
      <c r="E74" s="33"/>
      <c r="F74" s="33"/>
      <c r="G74" s="33"/>
      <c r="H74" s="47" t="s">
        <v>46</v>
      </c>
    </row>
    <row r="75" spans="1:8" x14ac:dyDescent="0.3">
      <c r="A75" s="7"/>
      <c r="B75" s="7"/>
      <c r="C75" s="7"/>
      <c r="D75" s="8"/>
      <c r="E75" s="25"/>
      <c r="F75" s="25"/>
      <c r="G75" s="25"/>
    </row>
    <row r="76" spans="1:8" x14ac:dyDescent="0.3">
      <c r="A76" s="10" t="s">
        <v>34</v>
      </c>
      <c r="B76" s="12" t="s">
        <v>47</v>
      </c>
      <c r="C76" s="20">
        <v>46219</v>
      </c>
      <c r="D76" s="9" t="s">
        <v>48</v>
      </c>
      <c r="E76" s="21"/>
      <c r="F76" s="21"/>
      <c r="G76" s="21"/>
      <c r="H76" s="46" t="s">
        <v>38</v>
      </c>
    </row>
    <row r="77" spans="1:8" x14ac:dyDescent="0.3">
      <c r="A77" s="10"/>
      <c r="B77" s="10"/>
      <c r="C77" s="10"/>
      <c r="D77" s="9" t="s">
        <v>49</v>
      </c>
      <c r="E77" s="21"/>
      <c r="F77" s="21"/>
      <c r="G77" s="21"/>
    </row>
    <row r="78" spans="1:8" x14ac:dyDescent="0.3">
      <c r="A78" s="10"/>
      <c r="B78" s="10"/>
      <c r="C78" s="10"/>
      <c r="D78" s="9" t="s">
        <v>50</v>
      </c>
      <c r="E78" s="21"/>
      <c r="F78" s="21"/>
      <c r="G78" s="21"/>
    </row>
    <row r="79" spans="1:8" x14ac:dyDescent="0.3">
      <c r="A79" s="10"/>
      <c r="B79" s="10"/>
      <c r="C79" s="10"/>
      <c r="D79" s="16" t="s">
        <v>51</v>
      </c>
      <c r="E79" s="34"/>
      <c r="F79" s="34"/>
      <c r="G79" s="34">
        <v>600</v>
      </c>
    </row>
    <row r="80" spans="1:8" ht="28.8" x14ac:dyDescent="0.3">
      <c r="A80" s="10"/>
      <c r="B80" s="10"/>
      <c r="C80" s="10"/>
      <c r="D80" s="40" t="s">
        <v>100</v>
      </c>
      <c r="E80" s="26"/>
      <c r="F80" s="26"/>
      <c r="G80" s="26">
        <v>1300</v>
      </c>
    </row>
    <row r="81" spans="1:8" x14ac:dyDescent="0.3">
      <c r="A81" s="10"/>
      <c r="B81" s="10"/>
      <c r="C81" s="10"/>
      <c r="D81" s="16" t="s">
        <v>93</v>
      </c>
      <c r="E81" s="21">
        <v>30000</v>
      </c>
      <c r="F81" s="21">
        <v>30000</v>
      </c>
      <c r="G81" s="26"/>
    </row>
    <row r="82" spans="1:8" x14ac:dyDescent="0.3">
      <c r="A82" s="10"/>
      <c r="B82" s="10"/>
      <c r="C82" s="10"/>
      <c r="D82" s="13" t="s">
        <v>81</v>
      </c>
      <c r="E82" s="26">
        <f>(600+1300)*2</f>
        <v>3800</v>
      </c>
      <c r="F82" s="52">
        <v>0</v>
      </c>
      <c r="G82" s="26"/>
    </row>
    <row r="83" spans="1:8" x14ac:dyDescent="0.3">
      <c r="A83" s="10"/>
      <c r="B83" s="10"/>
      <c r="C83" s="10"/>
      <c r="D83" s="13" t="s">
        <v>84</v>
      </c>
      <c r="E83" s="26">
        <v>9500</v>
      </c>
      <c r="F83" s="26">
        <v>9500</v>
      </c>
      <c r="G83" s="26"/>
    </row>
    <row r="84" spans="1:8" x14ac:dyDescent="0.3">
      <c r="A84" s="10"/>
      <c r="B84" s="10"/>
      <c r="C84" s="10"/>
      <c r="D84" s="13" t="s">
        <v>85</v>
      </c>
      <c r="E84" s="26">
        <v>12000</v>
      </c>
      <c r="F84" s="26">
        <v>12000</v>
      </c>
      <c r="G84" s="26"/>
    </row>
    <row r="85" spans="1:8" x14ac:dyDescent="0.3">
      <c r="A85" s="10"/>
      <c r="B85" s="10"/>
      <c r="C85" s="10"/>
      <c r="D85" s="9" t="s">
        <v>16</v>
      </c>
      <c r="E85" s="21"/>
      <c r="F85" s="21"/>
      <c r="G85" s="21">
        <v>2300</v>
      </c>
    </row>
    <row r="86" spans="1:8" x14ac:dyDescent="0.3">
      <c r="A86" s="10"/>
      <c r="B86" s="10"/>
      <c r="C86" s="10"/>
      <c r="D86" s="9" t="s">
        <v>17</v>
      </c>
      <c r="E86" s="21"/>
      <c r="F86" s="21"/>
      <c r="G86" s="21">
        <v>2300</v>
      </c>
    </row>
    <row r="87" spans="1:8" x14ac:dyDescent="0.3">
      <c r="A87" s="10"/>
      <c r="B87" s="10"/>
      <c r="C87" s="10"/>
      <c r="D87" s="9" t="s">
        <v>72</v>
      </c>
      <c r="E87" s="21">
        <v>3000</v>
      </c>
      <c r="F87" s="21">
        <v>3000</v>
      </c>
      <c r="G87" s="21"/>
    </row>
    <row r="88" spans="1:8" x14ac:dyDescent="0.3">
      <c r="A88" s="10"/>
      <c r="B88" s="10"/>
      <c r="C88" s="10"/>
      <c r="D88" s="17" t="s">
        <v>86</v>
      </c>
      <c r="E88" s="35"/>
      <c r="F88" s="35"/>
      <c r="G88" s="35">
        <v>5000</v>
      </c>
      <c r="H88" s="47" t="s">
        <v>52</v>
      </c>
    </row>
    <row r="89" spans="1:8" x14ac:dyDescent="0.3">
      <c r="A89" s="10"/>
      <c r="B89" s="10"/>
      <c r="C89" s="10"/>
      <c r="D89" s="17" t="s">
        <v>76</v>
      </c>
      <c r="E89" s="35">
        <v>10000</v>
      </c>
      <c r="F89" s="52">
        <v>0</v>
      </c>
      <c r="G89" s="35"/>
      <c r="H89" s="47"/>
    </row>
    <row r="90" spans="1:8" x14ac:dyDescent="0.3">
      <c r="A90" s="10"/>
      <c r="B90" s="10"/>
      <c r="C90" s="10"/>
      <c r="D90" s="17" t="s">
        <v>83</v>
      </c>
      <c r="E90" s="35">
        <v>10000</v>
      </c>
      <c r="F90" s="35">
        <v>10000</v>
      </c>
      <c r="G90" s="35"/>
      <c r="H90" s="47"/>
    </row>
    <row r="91" spans="1:8" x14ac:dyDescent="0.3">
      <c r="A91" s="10"/>
      <c r="B91" s="10"/>
      <c r="C91" s="10"/>
      <c r="D91" s="17" t="s">
        <v>87</v>
      </c>
      <c r="E91" s="35">
        <v>7000</v>
      </c>
      <c r="F91" s="35">
        <v>7000</v>
      </c>
      <c r="G91" s="35"/>
      <c r="H91" s="47"/>
    </row>
    <row r="92" spans="1:8" x14ac:dyDescent="0.3">
      <c r="A92" s="10"/>
      <c r="B92" s="10"/>
      <c r="C92" s="10"/>
      <c r="D92" s="36" t="s">
        <v>53</v>
      </c>
      <c r="E92" s="37"/>
      <c r="F92" s="37"/>
      <c r="G92" s="37"/>
      <c r="H92" s="47" t="s">
        <v>54</v>
      </c>
    </row>
    <row r="93" spans="1:8" x14ac:dyDescent="0.3">
      <c r="A93" s="10"/>
      <c r="B93" s="10"/>
      <c r="C93" s="10"/>
      <c r="D93" s="32" t="s">
        <v>55</v>
      </c>
      <c r="E93" s="33"/>
      <c r="F93" s="33"/>
      <c r="G93" s="33"/>
    </row>
    <row r="94" spans="1:8" x14ac:dyDescent="0.3">
      <c r="A94" s="10"/>
      <c r="B94" s="10"/>
      <c r="C94" s="10"/>
      <c r="D94" s="32" t="s">
        <v>56</v>
      </c>
      <c r="E94" s="33"/>
      <c r="F94" s="33"/>
      <c r="G94" s="33"/>
    </row>
    <row r="95" spans="1:8" x14ac:dyDescent="0.3">
      <c r="A95" s="7"/>
      <c r="B95" s="7"/>
      <c r="C95" s="7"/>
      <c r="D95" s="8"/>
      <c r="E95" s="25"/>
      <c r="F95" s="25"/>
      <c r="G95" s="25"/>
    </row>
    <row r="96" spans="1:8" x14ac:dyDescent="0.3">
      <c r="A96" s="10" t="s">
        <v>57</v>
      </c>
      <c r="B96" s="12" t="s">
        <v>58</v>
      </c>
      <c r="C96" s="20">
        <v>46220</v>
      </c>
      <c r="D96" s="9" t="s">
        <v>59</v>
      </c>
      <c r="E96" s="21"/>
      <c r="F96" s="21"/>
      <c r="G96" s="21"/>
    </row>
    <row r="97" spans="1:7" x14ac:dyDescent="0.3">
      <c r="A97" s="10"/>
      <c r="B97" s="12"/>
      <c r="C97" s="20"/>
      <c r="D97" s="16" t="s">
        <v>60</v>
      </c>
      <c r="E97" s="34">
        <f>3*3510</f>
        <v>10530</v>
      </c>
      <c r="F97" s="34">
        <f>3*3510</f>
        <v>10530</v>
      </c>
      <c r="G97" s="41"/>
    </row>
    <row r="98" spans="1:7" x14ac:dyDescent="0.3">
      <c r="A98" s="10"/>
      <c r="B98" s="10"/>
      <c r="C98" s="10"/>
      <c r="D98" s="9" t="s">
        <v>61</v>
      </c>
      <c r="E98" s="21"/>
      <c r="F98" s="21"/>
      <c r="G98" s="21"/>
    </row>
    <row r="99" spans="1:7" x14ac:dyDescent="0.3">
      <c r="A99" s="10"/>
      <c r="B99" s="10"/>
      <c r="C99" s="10"/>
      <c r="D99" s="16" t="s">
        <v>93</v>
      </c>
      <c r="E99" s="21">
        <v>20000</v>
      </c>
      <c r="F99" s="21">
        <v>20000</v>
      </c>
      <c r="G99" s="26"/>
    </row>
    <row r="100" spans="1:7" x14ac:dyDescent="0.3">
      <c r="A100" s="10"/>
      <c r="B100" s="10"/>
      <c r="C100" s="10"/>
      <c r="D100" s="42" t="s">
        <v>90</v>
      </c>
      <c r="E100" s="21"/>
      <c r="F100" s="21"/>
      <c r="G100" s="21">
        <v>2300</v>
      </c>
    </row>
    <row r="101" spans="1:7" x14ac:dyDescent="0.3">
      <c r="A101" s="10"/>
      <c r="B101" s="10"/>
      <c r="C101" s="10"/>
      <c r="D101" s="42" t="s">
        <v>91</v>
      </c>
      <c r="E101" s="21">
        <f>G100*2</f>
        <v>4600</v>
      </c>
      <c r="F101" s="41">
        <f>H100*2</f>
        <v>0</v>
      </c>
      <c r="G101" s="21"/>
    </row>
    <row r="102" spans="1:7" x14ac:dyDescent="0.3">
      <c r="A102" s="10"/>
      <c r="B102" s="10"/>
      <c r="C102" s="10"/>
      <c r="D102" s="9" t="s">
        <v>62</v>
      </c>
      <c r="E102" s="21"/>
      <c r="F102" s="21"/>
      <c r="G102" s="21">
        <v>6000</v>
      </c>
    </row>
    <row r="103" spans="1:7" x14ac:dyDescent="0.3">
      <c r="A103" s="10"/>
      <c r="B103" s="10"/>
      <c r="C103" s="10"/>
      <c r="D103" s="9" t="s">
        <v>88</v>
      </c>
      <c r="E103" s="21"/>
      <c r="F103" s="21"/>
      <c r="G103" s="21">
        <v>2300</v>
      </c>
    </row>
    <row r="104" spans="1:7" x14ac:dyDescent="0.3">
      <c r="A104" s="10"/>
      <c r="B104" s="10"/>
      <c r="C104" s="10"/>
      <c r="D104" s="17" t="s">
        <v>89</v>
      </c>
      <c r="E104" s="21">
        <f>G103*2</f>
        <v>4600</v>
      </c>
      <c r="F104" s="41">
        <f>H103*2</f>
        <v>0</v>
      </c>
      <c r="G104" s="21"/>
    </row>
    <row r="105" spans="1:7" x14ac:dyDescent="0.3">
      <c r="A105" s="10"/>
      <c r="B105" s="10"/>
      <c r="C105" s="10"/>
      <c r="D105" s="17" t="s">
        <v>105</v>
      </c>
      <c r="E105" s="41">
        <f>12000*2</f>
        <v>24000</v>
      </c>
      <c r="F105" s="41">
        <v>0</v>
      </c>
      <c r="G105" s="21"/>
    </row>
    <row r="106" spans="1:7" x14ac:dyDescent="0.3">
      <c r="A106" s="7"/>
      <c r="B106" s="7"/>
      <c r="C106" s="7"/>
      <c r="D106" s="8"/>
      <c r="E106" s="25"/>
      <c r="F106" s="25"/>
      <c r="G106" s="25"/>
    </row>
    <row r="107" spans="1:7" x14ac:dyDescent="0.3">
      <c r="A107" s="10" t="s">
        <v>57</v>
      </c>
      <c r="B107" s="10" t="s">
        <v>63</v>
      </c>
      <c r="C107" s="43" t="s">
        <v>64</v>
      </c>
      <c r="D107" s="44" t="s">
        <v>65</v>
      </c>
      <c r="E107" s="45"/>
      <c r="F107" s="45"/>
      <c r="G107" s="45"/>
    </row>
    <row r="108" spans="1:7" x14ac:dyDescent="0.3">
      <c r="A108" s="10"/>
      <c r="B108" s="10"/>
      <c r="C108" s="10"/>
      <c r="D108" s="13" t="s">
        <v>66</v>
      </c>
      <c r="E108" s="26"/>
      <c r="F108" s="26"/>
      <c r="G108" s="15">
        <v>46880</v>
      </c>
    </row>
    <row r="109" spans="1:7" x14ac:dyDescent="0.3">
      <c r="A109" s="10"/>
      <c r="B109" s="10"/>
      <c r="C109" s="10"/>
      <c r="D109" s="13" t="s">
        <v>80</v>
      </c>
      <c r="E109" s="26">
        <f>G108*2</f>
        <v>93760</v>
      </c>
      <c r="F109" s="52">
        <f>H108*2</f>
        <v>0</v>
      </c>
      <c r="G109" s="15"/>
    </row>
    <row r="110" spans="1:7" x14ac:dyDescent="0.3">
      <c r="A110" s="10"/>
      <c r="B110" s="10"/>
      <c r="C110" s="10"/>
      <c r="D110" s="13" t="s">
        <v>92</v>
      </c>
      <c r="E110" s="26"/>
      <c r="F110" s="26"/>
      <c r="G110" s="15">
        <f>3500*4</f>
        <v>14000</v>
      </c>
    </row>
    <row r="111" spans="1:7" x14ac:dyDescent="0.3">
      <c r="A111" s="10"/>
      <c r="B111" s="10"/>
      <c r="C111" s="10"/>
      <c r="D111" s="13" t="s">
        <v>76</v>
      </c>
      <c r="E111" s="26">
        <f>7000*4</f>
        <v>28000</v>
      </c>
      <c r="F111" s="52">
        <v>0</v>
      </c>
      <c r="G111" s="15"/>
    </row>
    <row r="112" spans="1:7" x14ac:dyDescent="0.3">
      <c r="A112" s="10"/>
      <c r="B112" s="10"/>
      <c r="C112" s="10"/>
      <c r="D112" s="9"/>
      <c r="E112" s="21"/>
      <c r="F112" s="21"/>
      <c r="G112" s="21"/>
    </row>
    <row r="113" spans="1:7" x14ac:dyDescent="0.3">
      <c r="E113" s="19"/>
      <c r="F113" s="19"/>
      <c r="G113" s="19"/>
    </row>
    <row r="114" spans="1:7" x14ac:dyDescent="0.3">
      <c r="A114" s="10" t="s">
        <v>57</v>
      </c>
      <c r="B114" s="10" t="s">
        <v>67</v>
      </c>
      <c r="C114" s="20" t="s">
        <v>68</v>
      </c>
      <c r="D114" s="9"/>
      <c r="E114" s="21"/>
      <c r="F114" s="21"/>
      <c r="G114" s="21"/>
    </row>
    <row r="115" spans="1:7" x14ac:dyDescent="0.3">
      <c r="A115" s="10"/>
      <c r="B115" s="10"/>
      <c r="C115" s="20"/>
      <c r="D115" s="16" t="s">
        <v>93</v>
      </c>
      <c r="E115" s="21">
        <v>20000</v>
      </c>
      <c r="F115" s="21">
        <v>20000</v>
      </c>
      <c r="G115" s="26"/>
    </row>
    <row r="116" spans="1:7" x14ac:dyDescent="0.3">
      <c r="A116" s="10"/>
      <c r="B116" s="10"/>
      <c r="C116" s="10"/>
      <c r="D116" s="16" t="s">
        <v>62</v>
      </c>
      <c r="E116" s="21"/>
      <c r="F116" s="21"/>
      <c r="G116" s="21">
        <v>6000</v>
      </c>
    </row>
    <row r="117" spans="1:7" x14ac:dyDescent="0.3">
      <c r="A117" s="10"/>
      <c r="B117" s="10"/>
      <c r="C117" s="10"/>
      <c r="D117" s="16" t="s">
        <v>101</v>
      </c>
      <c r="E117" s="21">
        <f>6*3510</f>
        <v>21060</v>
      </c>
      <c r="F117" s="21">
        <f>6*3510</f>
        <v>21060</v>
      </c>
      <c r="G117" s="21"/>
    </row>
    <row r="118" spans="1:7" x14ac:dyDescent="0.3">
      <c r="A118" s="10"/>
      <c r="B118" s="10"/>
      <c r="C118" s="10"/>
      <c r="D118" s="16" t="s">
        <v>69</v>
      </c>
      <c r="E118" s="45"/>
      <c r="F118" s="45"/>
      <c r="G118" s="45"/>
    </row>
    <row r="119" spans="1:7" x14ac:dyDescent="0.3">
      <c r="A119" s="10"/>
      <c r="B119" s="10"/>
      <c r="C119" s="10"/>
      <c r="D119" s="9"/>
      <c r="E119" s="21"/>
      <c r="F119" s="21"/>
      <c r="G119" s="21"/>
    </row>
    <row r="120" spans="1:7" x14ac:dyDescent="0.3">
      <c r="E120" s="19"/>
      <c r="F120" s="19"/>
      <c r="G120" s="19"/>
    </row>
    <row r="121" spans="1:7" x14ac:dyDescent="0.3">
      <c r="A121" s="7"/>
      <c r="B121" s="7"/>
      <c r="C121" s="7"/>
      <c r="D121" s="8"/>
      <c r="E121" s="25"/>
      <c r="F121" s="25"/>
      <c r="G121" s="2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D40">
          <hypersublink pos="3" length="81" display="https://tsarskaya-derevnya.rhotel.site/booking?from=16.07.2026&amp;till=2026%2F7%2F17" address="https://tsarskaya-derevnya.rhotel.site/booking?from=16.07.2026&amp;till=2026%2F7%2F17" subaddress="" screenTip="" linkrunstype="LRTURL"/>
        </hyperlink>
        <hyperlink ref="D39">
          <hypersublink pos="3" length="57" display="https://booking-vladimirskayahotel.agast.ru/booking/rooms" address="https://booking-vladimirskayahotel.agast.ru/booking/rooms" subaddress="" screenTip="" linkrunstype="LRTURL"/>
        </hyperlink>
        <hyperlink ref="D51">
          <hypersublink pos="3" length="33" display="https://hotel-chester.ru/booking/" address="https://hotel-chester.ru/booking/" subaddress="" screenTip="" linkrunstype="LRTURL"/>
        </hyperlink>
        <hyperlink ref="D52">
          <hypersublink pos="3" length="88" display="https://orionhotel.ru/booking/?date=2026-07-16&amp;nights=1&amp;adults=2&amp;children=&amp;children-age=" address="https://orionhotel.ru/booking/?date=2026-07-16&amp;nights=1&amp;adults=2&amp;children=&amp;children-age=" subaddress="" screenTip="" linkrunstype="LRTURL"/>
        </hyperlink>
        <hyperlink ref="D50">
          <hypersublink pos="3" length="54" display="https://vaniahotel.ru/booking?date=2026-07-16&amp;nights=1" address="https://vaniahotel.ru/booking?date=2026-07-16&amp;nights=1" subaddress="" screenTip="" linkrunstype="LRTURL"/>
        </hyperlink>
      </hyperlinks>
      <cellprotection/>
      <appEtDbRelations/>
    </woSheetProps>
  </woSheetsProps>
  <woBookProps>
    <bookSettings fileId="516335492383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Dobrolyubov</dc:creator>
  <cp:lastModifiedBy>Dmitry Dobrolyubov</cp:lastModifiedBy>
  <dcterms:created xsi:type="dcterms:W3CDTF">2026-04-24T18:10:00Z</dcterms:created>
  <dcterms:modified xsi:type="dcterms:W3CDTF">2026-04-30T16:32:53Z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2052-12.9.0.26365</vt:lpwstr>
  </property>
  <property fmtid="{D5CDD505-2E9C-101B-9397-08002B2CF9AE}" pid="3" name="ICV">
    <vt:lpwstr>F473E9E09E969B46170DF26904008D11_42</vt:lpwstr>
  </property>
  <property fmtid="{D5CDD505-2E9C-101B-9397-08002B2CF9AE}" pid="4" name="CalculationRule">
    <vt:i4>0</vt:i4>
  </property>
</Properties>
</file>